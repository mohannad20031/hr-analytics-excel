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ohan\Downloads\"/>
    </mc:Choice>
  </mc:AlternateContent>
  <xr:revisionPtr revIDLastSave="0" documentId="8_{D877D1ED-84D8-4770-8CB1-97972B119D22}" xr6:coauthVersionLast="47" xr6:coauthVersionMax="47" xr10:uidLastSave="{00000000-0000-0000-0000-000000000000}"/>
  <bookViews>
    <workbookView xWindow="-120" yWindow="-120" windowWidth="29040" windowHeight="15720" xr2:uid="{9275BB61-9CA1-4E7C-90BF-D9A09E937549}"/>
  </bookViews>
  <sheets>
    <sheet name="Raw Data" sheetId="1" r:id="rId1"/>
    <sheet name="Clean Data" sheetId="8" r:id="rId2"/>
    <sheet name="Analysis Pivots" sheetId="6" r:id="rId3"/>
    <sheet name="Dashboard" sheetId="11" r:id="rId4"/>
  </sheets>
  <definedNames>
    <definedName name="_xlcn.WorksheetConnection_HR_Analytics_Project.xlsxTable2_2" hidden="1">Table2_2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_2" name="Table2_2" connection="WorksheetConnection_HR_Analytics_Project.xlsx!Table2_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6" l="1"/>
  <c r="E57" i="6"/>
  <c r="D57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C69E73-FFEF-4CC6-B60C-BBB848660ED2}" keepAlive="1" name="Query - Table2_4" description="Connection to the 'Table2_4' query in the workbook." type="5" refreshedVersion="8" background="1" saveData="1">
    <dbPr connection="Provider=Microsoft.Mashup.OleDb.1;Data Source=$Workbook$;Location=Table2_4;Extended Properties=&quot;&quot;" command="SELECT * FROM [Table2_4]"/>
  </connection>
  <connection id="2" xr16:uid="{C6DA50E0-89B5-4657-89F7-E97B7854803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6587C773-676F-447F-B6A4-A1ED62C20F42}" name="WorksheetConnection_HR_Analytics_Project.xlsx!Table2_2" type="102" refreshedVersion="8" minRefreshableVersion="5">
    <extLst>
      <ext xmlns:x15="http://schemas.microsoft.com/office/spreadsheetml/2010/11/main" uri="{DE250136-89BD-433C-8126-D09CA5730AF9}">
        <x15:connection id="Table2_2">
          <x15:rangePr sourceName="_xlcn.WorksheetConnection_HR_Analytics_Project.xlsxTable2_2"/>
        </x15:connection>
      </ext>
    </extLst>
  </connection>
</connections>
</file>

<file path=xl/sharedStrings.xml><?xml version="1.0" encoding="utf-8"?>
<sst xmlns="http://schemas.openxmlformats.org/spreadsheetml/2006/main" count="8863" uniqueCount="56">
  <si>
    <t>Employee ID</t>
  </si>
  <si>
    <t>Age</t>
  </si>
  <si>
    <t>Salary</t>
  </si>
  <si>
    <t>Absences</t>
  </si>
  <si>
    <t>Overtime Hours</t>
  </si>
  <si>
    <t>Performance Rating</t>
  </si>
  <si>
    <t>Satisfaction Score</t>
  </si>
  <si>
    <t>Hire Date</t>
  </si>
  <si>
    <t>Exit Date</t>
  </si>
  <si>
    <t/>
  </si>
  <si>
    <t>Department</t>
  </si>
  <si>
    <t>Role</t>
  </si>
  <si>
    <t>Manager</t>
  </si>
  <si>
    <t>HR</t>
  </si>
  <si>
    <t>Associate</t>
  </si>
  <si>
    <t>Fatima Noor</t>
  </si>
  <si>
    <t>Marketing</t>
  </si>
  <si>
    <t>John Carter</t>
  </si>
  <si>
    <t>Omar Khalid</t>
  </si>
  <si>
    <t>Operations</t>
  </si>
  <si>
    <t>Senior Analyst</t>
  </si>
  <si>
    <t>Emily Brown</t>
  </si>
  <si>
    <t>Sales</t>
  </si>
  <si>
    <t>Finance</t>
  </si>
  <si>
    <t>Ahmed Hassan</t>
  </si>
  <si>
    <t>Specialist</t>
  </si>
  <si>
    <t>David Miller</t>
  </si>
  <si>
    <t>IT</t>
  </si>
  <si>
    <t>Analyst</t>
  </si>
  <si>
    <t>Sarah Lee</t>
  </si>
  <si>
    <t>Gender</t>
  </si>
  <si>
    <t>Male</t>
  </si>
  <si>
    <t>Female</t>
  </si>
  <si>
    <t>FEMALE</t>
  </si>
  <si>
    <t>Sr Analyst</t>
  </si>
  <si>
    <t>it</t>
  </si>
  <si>
    <t>Sals</t>
  </si>
  <si>
    <t>f</t>
  </si>
  <si>
    <t>finace</t>
  </si>
  <si>
    <t>mgr</t>
  </si>
  <si>
    <t>Noor Fatima</t>
  </si>
  <si>
    <t>Spacialist</t>
  </si>
  <si>
    <t>Hamed Hassan</t>
  </si>
  <si>
    <t>M</t>
  </si>
  <si>
    <t>sarah lee</t>
  </si>
  <si>
    <t>Ahmad Hassan</t>
  </si>
  <si>
    <t>Row Labels</t>
  </si>
  <si>
    <t>Grand Total</t>
  </si>
  <si>
    <t>Average of Salary</t>
  </si>
  <si>
    <t>Active</t>
  </si>
  <si>
    <t>Exited</t>
  </si>
  <si>
    <t>Employment Status</t>
  </si>
  <si>
    <t>Count of Employee ID</t>
  </si>
  <si>
    <t xml:space="preserve">Turnover Rate: </t>
  </si>
  <si>
    <t>Column Labels</t>
  </si>
  <si>
    <t>Count of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</si>
</sst>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12">
    <dxf>
      <numFmt numFmtId="164" formatCode="m/d/yyyy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2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7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[HR_Analytics_Project.xlsx]Analysis Pivots!PivotTable6</c:name>
    <c:fmtId val="5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136482939632546E-2"/>
          <c:y val="5.3732569695805185E-2"/>
          <c:w val="0.76865048118985124"/>
          <c:h val="0.766625822310985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'Analysis Pivots'!$E$21:$E$22</c:f>
              <c:strCache>
                <c:ptCount val="1"/>
                <c:pt idx="0">
                  <c:v>Active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'Analysis Pivots'!$D$23:$D$29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'Analysis Pivots'!$E$23:$E$29</c:f>
              <c:numCache>
                <c:formatCode>General</c:formatCode>
                <c:ptCount val="6"/>
                <c:pt idx="0">
                  <c:v>127</c:v>
                </c:pt>
                <c:pt idx="1">
                  <c:v>90</c:v>
                </c:pt>
                <c:pt idx="2">
                  <c:v>143</c:v>
                </c:pt>
                <c:pt idx="3">
                  <c:v>70</c:v>
                </c:pt>
                <c:pt idx="4">
                  <c:v>72</c:v>
                </c:pt>
                <c:pt idx="5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B6-4575-B5B6-3E1297916D72}"/>
            </c:ext>
          </c:extLst>
        </c:ser>
        <c:ser>
          <c:idx val="1"/>
          <c:order val="1"/>
          <c:tx>
            <c:strRef>
              <c:f>'Analysis Pivots'!$F$21:$F$22</c:f>
              <c:strCache>
                <c:ptCount val="1"/>
                <c:pt idx="0">
                  <c:v>Exited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'Analysis Pivots'!$D$23:$D$29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'Analysis Pivots'!$F$23:$F$29</c:f>
              <c:numCache>
                <c:formatCode>General</c:formatCode>
                <c:ptCount val="6"/>
                <c:pt idx="0">
                  <c:v>63</c:v>
                </c:pt>
                <c:pt idx="1">
                  <c:v>35</c:v>
                </c:pt>
                <c:pt idx="2">
                  <c:v>49</c:v>
                </c:pt>
                <c:pt idx="3">
                  <c:v>29</c:v>
                </c:pt>
                <c:pt idx="4">
                  <c:v>35</c:v>
                </c:pt>
                <c:pt idx="5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B6-4575-B5B6-3E1297916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38125360"/>
        <c:axId val="638146480"/>
      </c:barChart>
      <c:catAx>
        <c:axId val="63812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146480"/>
        <c:crosses val="autoZero"/>
        <c:auto val="1"/>
        <c:lblAlgn val="ctr"/>
        <c:lblOffset val="100"/>
        <c:noMultiLvlLbl val="0"/>
      </c:catAx>
      <c:valAx>
        <c:axId val="63814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125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[HR_Analytics_Project.xlsx]Analysis Pivots!PivotTable2</c:name>
    <c:fmtId val="7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4.3254887129006603E-2"/>
          <c:y val="9.8133190798590494E-2"/>
          <c:w val="0.63990647591972105"/>
          <c:h val="0.77288177534940805"/>
        </c:manualLayout>
      </c:layout>
      <c:pieChart>
        <c:varyColors val="1"/>
        <c:ser>
          <c:idx val="0"/>
          <c:order val="0"/>
          <c:tx>
            <c:strRef>
              <c:f>'Analysis Pivots'!$B$13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A5F-4488-BB15-2F81E0ED86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A5F-4488-BB15-2F81E0ED86C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A5F-4488-BB15-2F81E0ED86C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A5F-4488-BB15-2F81E0ED86C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A5F-4488-BB15-2F81E0ED86C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A5F-4488-BB15-2F81E0ED86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'Analysis Pivots'!$A$14:$A$20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'Analysis Pivots'!$B$14:$B$20</c:f>
              <c:numCache>
                <c:formatCode>General</c:formatCode>
                <c:ptCount val="6"/>
                <c:pt idx="0">
                  <c:v>190</c:v>
                </c:pt>
                <c:pt idx="1">
                  <c:v>125</c:v>
                </c:pt>
                <c:pt idx="2">
                  <c:v>192</c:v>
                </c:pt>
                <c:pt idx="3">
                  <c:v>99</c:v>
                </c:pt>
                <c:pt idx="4">
                  <c:v>107</c:v>
                </c:pt>
                <c:pt idx="5">
                  <c:v>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A5F-4488-BB15-2F81E0ED86C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345754315921782"/>
          <c:y val="0.24516642966798965"/>
          <c:w val="0.27939581411720266"/>
          <c:h val="0.481108446349866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[HR_Analytics_Project.xlsx]Analysis Pivots!PivotTable1</c:name>
    <c:fmtId val="8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Pivots'!$B$3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'Analysis Pivots'!$A$4:$A$10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'Analysis Pivots'!$B$4:$B$10</c:f>
              <c:numCache>
                <c:formatCode>General</c:formatCode>
                <c:ptCount val="6"/>
                <c:pt idx="0">
                  <c:v>77954.489473684211</c:v>
                </c:pt>
                <c:pt idx="1">
                  <c:v>78769.543999999994</c:v>
                </c:pt>
                <c:pt idx="2">
                  <c:v>77079.307291666672</c:v>
                </c:pt>
                <c:pt idx="3">
                  <c:v>76602.262626262629</c:v>
                </c:pt>
                <c:pt idx="4">
                  <c:v>75854.065420560742</c:v>
                </c:pt>
                <c:pt idx="5">
                  <c:v>79429.329545454544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47-470D-911C-815B1534A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87331072"/>
        <c:axId val="1587332512"/>
      </c:barChart>
      <c:catAx>
        <c:axId val="158733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332512"/>
        <c:crosses val="autoZero"/>
        <c:auto val="1"/>
        <c:lblAlgn val="ctr"/>
        <c:lblOffset val="100"/>
        <c:noMultiLvlLbl val="0"/>
      </c:catAx>
      <c:valAx>
        <c:axId val="158733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331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[HR_Analytics_Project.xlsx]Analysis Pivots!PivotTable4</c:name>
    <c:fmtId val="7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Pivots'!$E$3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'Analysis Pivots'!$D$4:$D$9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'Analysis Pivots'!$E$4:$E$9</c:f>
              <c:numCache>
                <c:formatCode>General</c:formatCode>
                <c:ptCount val="5"/>
                <c:pt idx="0">
                  <c:v>133</c:v>
                </c:pt>
                <c:pt idx="1">
                  <c:v>137</c:v>
                </c:pt>
                <c:pt idx="2">
                  <c:v>158</c:v>
                </c:pt>
                <c:pt idx="3">
                  <c:v>150</c:v>
                </c:pt>
                <c:pt idx="4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5D-4166-B577-5C83E1EBA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70983839"/>
        <c:axId val="1470984319"/>
      </c:barChart>
      <c:catAx>
        <c:axId val="1470983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984319"/>
        <c:crosses val="autoZero"/>
        <c:auto val="1"/>
        <c:lblAlgn val="ctr"/>
        <c:lblOffset val="100"/>
        <c:noMultiLvlLbl val="0"/>
      </c:catAx>
      <c:valAx>
        <c:axId val="147098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983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71437</xdr:colOff>
      <xdr:row>1</xdr:row>
      <xdr:rowOff>11906</xdr:rowOff>
    </xdr:from>
    <xdr:to>
      <xdr:col>14</xdr:col>
      <xdr:colOff>38485</xdr:colOff>
      <xdr:row>6</xdr:row>
      <xdr:rowOff>142875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95AFF2A4-4974-D2CB-F06D-2CB9B97CC019}"/>
            </a:ext>
          </a:extLst>
        </xdr:cNvPr>
        <xdr:cNvSpPr/>
      </xdr:nvSpPr>
      <xdr:spPr>
        <a:xfrm>
          <a:off x="71437" y="204330"/>
          <a:ext cx="8452957" cy="1093090"/>
        </a:xfrm>
        <a:prstGeom prst="roundRect">
          <a:avLst/>
        </a:prstGeom>
        <a:solidFill>
          <a:schemeClr val="bg2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CA" sz="4400" b="1">
              <a:solidFill>
                <a:schemeClr val="tx2">
                  <a:lumMod val="90000"/>
                  <a:lumOff val="1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Employee</a:t>
          </a:r>
          <a:r>
            <a:rPr lang="en-CA" sz="4400" b="1" baseline="0">
              <a:solidFill>
                <a:schemeClr val="tx2">
                  <a:lumMod val="90000"/>
                  <a:lumOff val="1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 Dashboard 2026</a:t>
          </a:r>
          <a:endParaRPr lang="en-CA" sz="4400" b="1">
            <a:solidFill>
              <a:schemeClr val="tx2">
                <a:lumMod val="90000"/>
                <a:lumOff val="10000"/>
              </a:schemeClr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0</xdr:col>
      <xdr:colOff>71437</xdr:colOff>
      <xdr:row>8</xdr:row>
      <xdr:rowOff>35718</xdr:rowOff>
    </xdr:from>
    <xdr:to>
      <xdr:col>4</xdr:col>
      <xdr:colOff>273844</xdr:colOff>
      <xdr:row>16</xdr:row>
      <xdr:rowOff>9525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44A95C59-624F-8C4D-E9F3-1546E5BBA24C}"/>
            </a:ext>
          </a:extLst>
        </xdr:cNvPr>
        <xdr:cNvSpPr/>
      </xdr:nvSpPr>
      <xdr:spPr>
        <a:xfrm>
          <a:off x="71437" y="1559718"/>
          <a:ext cx="2640807" cy="1497807"/>
        </a:xfrm>
        <a:prstGeom prst="round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CA" sz="2000" b="1">
              <a:solidFill>
                <a:schemeClr val="tx2">
                  <a:lumMod val="90000"/>
                  <a:lumOff val="1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Total Employees</a:t>
          </a:r>
        </a:p>
      </xdr:txBody>
    </xdr:sp>
    <xdr:clientData/>
  </xdr:twoCellAnchor>
  <xdr:twoCellAnchor>
    <xdr:from>
      <xdr:col>9</xdr:col>
      <xdr:colOff>250030</xdr:colOff>
      <xdr:row>8</xdr:row>
      <xdr:rowOff>11905</xdr:rowOff>
    </xdr:from>
    <xdr:to>
      <xdr:col>14</xdr:col>
      <xdr:colOff>38485</xdr:colOff>
      <xdr:row>16</xdr:row>
      <xdr:rowOff>19050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D19D724F-EFE0-1D30-FD33-C432613A1877}"/>
            </a:ext>
          </a:extLst>
        </xdr:cNvPr>
        <xdr:cNvSpPr/>
      </xdr:nvSpPr>
      <xdr:spPr>
        <a:xfrm>
          <a:off x="5736430" y="1535905"/>
          <a:ext cx="2836455" cy="1531145"/>
        </a:xfrm>
        <a:prstGeom prst="round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CA" sz="2000" b="1">
              <a:solidFill>
                <a:schemeClr val="tx2">
                  <a:lumMod val="90000"/>
                  <a:lumOff val="1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Average</a:t>
          </a:r>
          <a:r>
            <a:rPr lang="en-CA" sz="2000" b="1" baseline="0">
              <a:solidFill>
                <a:schemeClr val="tx2">
                  <a:lumMod val="90000"/>
                  <a:lumOff val="1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 Salary</a:t>
          </a:r>
          <a:endParaRPr lang="en-CA" sz="2000" b="1">
            <a:solidFill>
              <a:schemeClr val="tx2">
                <a:lumMod val="90000"/>
                <a:lumOff val="10000"/>
              </a:schemeClr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4</xdr:col>
      <xdr:colOff>476249</xdr:colOff>
      <xdr:row>8</xdr:row>
      <xdr:rowOff>23812</xdr:rowOff>
    </xdr:from>
    <xdr:to>
      <xdr:col>9</xdr:col>
      <xdr:colOff>134697</xdr:colOff>
      <xdr:row>16</xdr:row>
      <xdr:rowOff>19050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44CF39B8-84EC-BB7A-64CD-C038ACC6636D}"/>
            </a:ext>
          </a:extLst>
        </xdr:cNvPr>
        <xdr:cNvSpPr/>
      </xdr:nvSpPr>
      <xdr:spPr>
        <a:xfrm>
          <a:off x="2914649" y="1547812"/>
          <a:ext cx="2706448" cy="1519238"/>
        </a:xfrm>
        <a:prstGeom prst="round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CA" sz="2000" b="1">
              <a:solidFill>
                <a:schemeClr val="tx2">
                  <a:lumMod val="90000"/>
                  <a:lumOff val="1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Active Employees</a:t>
          </a:r>
        </a:p>
      </xdr:txBody>
    </xdr:sp>
    <xdr:clientData/>
  </xdr:twoCellAnchor>
  <xdr:twoCellAnchor>
    <xdr:from>
      <xdr:col>0</xdr:col>
      <xdr:colOff>71437</xdr:colOff>
      <xdr:row>16</xdr:row>
      <xdr:rowOff>152399</xdr:rowOff>
    </xdr:from>
    <xdr:to>
      <xdr:col>9</xdr:col>
      <xdr:colOff>125802</xdr:colOff>
      <xdr:row>33</xdr:row>
      <xdr:rowOff>95250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8D1CE41E-F25B-46CC-1C74-D98A88F4ECF2}"/>
            </a:ext>
          </a:extLst>
        </xdr:cNvPr>
        <xdr:cNvSpPr/>
      </xdr:nvSpPr>
      <xdr:spPr>
        <a:xfrm>
          <a:off x="71437" y="3200399"/>
          <a:ext cx="5540765" cy="3181351"/>
        </a:xfrm>
        <a:prstGeom prst="round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CA" sz="2000" b="1">
              <a:solidFill>
                <a:schemeClr val="tx2">
                  <a:lumMod val="90000"/>
                  <a:lumOff val="1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Employment</a:t>
          </a:r>
          <a:r>
            <a:rPr lang="en-CA" sz="2000" b="1" baseline="0">
              <a:solidFill>
                <a:schemeClr val="tx2">
                  <a:lumMod val="90000"/>
                  <a:lumOff val="1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 Status by Department</a:t>
          </a:r>
          <a:endParaRPr lang="en-CA" sz="2000" b="1">
            <a:solidFill>
              <a:schemeClr val="tx2">
                <a:lumMod val="90000"/>
                <a:lumOff val="10000"/>
              </a:schemeClr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9</xdr:col>
      <xdr:colOff>215210</xdr:colOff>
      <xdr:row>16</xdr:row>
      <xdr:rowOff>161925</xdr:rowOff>
    </xdr:from>
    <xdr:to>
      <xdr:col>14</xdr:col>
      <xdr:colOff>47625</xdr:colOff>
      <xdr:row>33</xdr:row>
      <xdr:rowOff>104774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FB65B0FD-C539-DBB7-EDA5-E1BD0F49280E}"/>
            </a:ext>
          </a:extLst>
        </xdr:cNvPr>
        <xdr:cNvSpPr/>
      </xdr:nvSpPr>
      <xdr:spPr>
        <a:xfrm>
          <a:off x="5701610" y="3209925"/>
          <a:ext cx="2880415" cy="3181349"/>
        </a:xfrm>
        <a:prstGeom prst="round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CA" sz="2000" b="1">
              <a:solidFill>
                <a:schemeClr val="tx2">
                  <a:lumMod val="90000"/>
                  <a:lumOff val="1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Headcount</a:t>
          </a:r>
          <a:r>
            <a:rPr lang="en-CA" sz="2000" b="1" baseline="0">
              <a:solidFill>
                <a:schemeClr val="tx2">
                  <a:lumMod val="90000"/>
                  <a:lumOff val="1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 by Department</a:t>
          </a:r>
          <a:endParaRPr lang="en-CA" sz="2000" b="1">
            <a:solidFill>
              <a:schemeClr val="tx2">
                <a:lumMod val="90000"/>
                <a:lumOff val="10000"/>
              </a:schemeClr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0</xdr:col>
      <xdr:colOff>295275</xdr:colOff>
      <xdr:row>19</xdr:row>
      <xdr:rowOff>190499</xdr:rowOff>
    </xdr:from>
    <xdr:to>
      <xdr:col>9</xdr:col>
      <xdr:colOff>104774</xdr:colOff>
      <xdr:row>33</xdr:row>
      <xdr:rowOff>142875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62893C9-8854-3BD4-1814-2E37C07BDD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200025</xdr:colOff>
      <xdr:row>20</xdr:row>
      <xdr:rowOff>28576</xdr:rowOff>
    </xdr:from>
    <xdr:to>
      <xdr:col>14</xdr:col>
      <xdr:colOff>38099</xdr:colOff>
      <xdr:row>34</xdr:row>
      <xdr:rowOff>47626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59906EE-8945-4F15-AF9E-5679B5BAD9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281088</xdr:colOff>
      <xdr:row>1</xdr:row>
      <xdr:rowOff>19241</xdr:rowOff>
    </xdr:from>
    <xdr:to>
      <xdr:col>21</xdr:col>
      <xdr:colOff>342900</xdr:colOff>
      <xdr:row>33</xdr:row>
      <xdr:rowOff>123825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BFD6CDC8-FBF3-16C2-5B05-0A5F320D79E0}"/>
            </a:ext>
          </a:extLst>
        </xdr:cNvPr>
        <xdr:cNvSpPr/>
      </xdr:nvSpPr>
      <xdr:spPr>
        <a:xfrm>
          <a:off x="8815488" y="209741"/>
          <a:ext cx="4329012" cy="6200584"/>
        </a:xfrm>
        <a:prstGeom prst="round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CA" sz="2000" b="1">
              <a:solidFill>
                <a:schemeClr val="tx2">
                  <a:lumMod val="90000"/>
                  <a:lumOff val="1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Average Salary by Department</a:t>
          </a:r>
        </a:p>
      </xdr:txBody>
    </xdr:sp>
    <xdr:clientData/>
  </xdr:twoCellAnchor>
  <xdr:twoCellAnchor>
    <xdr:from>
      <xdr:col>14</xdr:col>
      <xdr:colOff>586894</xdr:colOff>
      <xdr:row>6</xdr:row>
      <xdr:rowOff>19050</xdr:rowOff>
    </xdr:from>
    <xdr:to>
      <xdr:col>21</xdr:col>
      <xdr:colOff>38100</xdr:colOff>
      <xdr:row>32</xdr:row>
      <xdr:rowOff>114300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FCDCC63-2E2E-4DFC-5A9E-EFD737000B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266700</xdr:colOff>
      <xdr:row>10</xdr:row>
      <xdr:rowOff>114299</xdr:rowOff>
    </xdr:from>
    <xdr:to>
      <xdr:col>2</xdr:col>
      <xdr:colOff>104775</xdr:colOff>
      <xdr:row>15</xdr:row>
      <xdr:rowOff>66675</xdr:rowOff>
    </xdr:to>
    <xdr:sp macro="" textlink="'Analysis Pivots'!D57">
      <xdr:nvSpPr>
        <xdr:cNvPr id="19" name="TextBox 18">
          <a:extLst>
            <a:ext uri="{FF2B5EF4-FFF2-40B4-BE49-F238E27FC236}">
              <a16:creationId xmlns:a16="http://schemas.microsoft.com/office/drawing/2014/main" id="{6CF7C187-5CC1-BC74-07E6-5599559732FB}"/>
            </a:ext>
          </a:extLst>
        </xdr:cNvPr>
        <xdr:cNvSpPr txBox="1"/>
      </xdr:nvSpPr>
      <xdr:spPr>
        <a:xfrm>
          <a:off x="266700" y="2019299"/>
          <a:ext cx="1057275" cy="9048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BCB4B6C-727F-4F0A-A6BD-29B3474DEEDD}" type="TxLink">
            <a:rPr lang="en-US" sz="4400" b="1" i="0" u="none" strike="noStrike">
              <a:solidFill>
                <a:schemeClr val="tx2">
                  <a:lumMod val="90000"/>
                  <a:lumOff val="1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pPr/>
            <a:t>889</a:t>
          </a:fld>
          <a:endParaRPr lang="en-CA" sz="4400" b="1">
            <a:solidFill>
              <a:schemeClr val="tx2">
                <a:lumMod val="90000"/>
                <a:lumOff val="10000"/>
              </a:schemeClr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123825</xdr:colOff>
      <xdr:row>10</xdr:row>
      <xdr:rowOff>114299</xdr:rowOff>
    </xdr:from>
    <xdr:to>
      <xdr:col>6</xdr:col>
      <xdr:colOff>571500</xdr:colOff>
      <xdr:row>15</xdr:row>
      <xdr:rowOff>66675</xdr:rowOff>
    </xdr:to>
    <xdr:sp macro="" textlink="'Analysis Pivots'!E57">
      <xdr:nvSpPr>
        <xdr:cNvPr id="20" name="TextBox 19">
          <a:extLst>
            <a:ext uri="{FF2B5EF4-FFF2-40B4-BE49-F238E27FC236}">
              <a16:creationId xmlns:a16="http://schemas.microsoft.com/office/drawing/2014/main" id="{E4EA69D8-08C7-1A09-13AC-93381D93EB6D}"/>
            </a:ext>
          </a:extLst>
        </xdr:cNvPr>
        <xdr:cNvSpPr txBox="1"/>
      </xdr:nvSpPr>
      <xdr:spPr>
        <a:xfrm>
          <a:off x="3171825" y="2019299"/>
          <a:ext cx="1057275" cy="9048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4400" b="1">
              <a:solidFill>
                <a:schemeClr val="tx2">
                  <a:lumMod val="90000"/>
                  <a:lumOff val="1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629</a:t>
          </a:r>
        </a:p>
      </xdr:txBody>
    </xdr:sp>
    <xdr:clientData/>
  </xdr:twoCellAnchor>
  <xdr:twoCellAnchor>
    <xdr:from>
      <xdr:col>9</xdr:col>
      <xdr:colOff>523875</xdr:colOff>
      <xdr:row>10</xdr:row>
      <xdr:rowOff>114299</xdr:rowOff>
    </xdr:from>
    <xdr:to>
      <xdr:col>13</xdr:col>
      <xdr:colOff>561975</xdr:colOff>
      <xdr:row>15</xdr:row>
      <xdr:rowOff>66675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8BA047D-6BBB-BE53-E784-4A5A13AF58DA}"/>
            </a:ext>
          </a:extLst>
        </xdr:cNvPr>
        <xdr:cNvSpPr txBox="1"/>
      </xdr:nvSpPr>
      <xdr:spPr>
        <a:xfrm>
          <a:off x="6010275" y="2019299"/>
          <a:ext cx="2476500" cy="9048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4400" b="1" i="0" u="none" strike="noStrike">
              <a:solidFill>
                <a:schemeClr val="tx2">
                  <a:lumMod val="90000"/>
                  <a:lumOff val="1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$77,767</a:t>
          </a:r>
        </a:p>
      </xdr:txBody>
    </xdr:sp>
    <xdr:clientData/>
  </xdr:twoCellAnchor>
  <xdr:twoCellAnchor>
    <xdr:from>
      <xdr:col>21</xdr:col>
      <xdr:colOff>571500</xdr:colOff>
      <xdr:row>1</xdr:row>
      <xdr:rowOff>19241</xdr:rowOff>
    </xdr:from>
    <xdr:to>
      <xdr:col>28</xdr:col>
      <xdr:colOff>561975</xdr:colOff>
      <xdr:row>33</xdr:row>
      <xdr:rowOff>123825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27F1EAF1-1981-48B9-6C12-D22501EC2322}"/>
            </a:ext>
          </a:extLst>
        </xdr:cNvPr>
        <xdr:cNvSpPr/>
      </xdr:nvSpPr>
      <xdr:spPr>
        <a:xfrm>
          <a:off x="13373100" y="209741"/>
          <a:ext cx="4257675" cy="6200584"/>
        </a:xfrm>
        <a:prstGeom prst="round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CA" sz="2000" b="1">
              <a:solidFill>
                <a:schemeClr val="tx2">
                  <a:lumMod val="90000"/>
                  <a:lumOff val="1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Employees</a:t>
          </a:r>
          <a:r>
            <a:rPr lang="en-CA" sz="2000" b="1" baseline="0">
              <a:solidFill>
                <a:schemeClr val="tx2">
                  <a:lumMod val="90000"/>
                  <a:lumOff val="1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 Performance Rating</a:t>
          </a:r>
          <a:endParaRPr lang="en-CA" sz="2000" b="1">
            <a:solidFill>
              <a:schemeClr val="tx2">
                <a:lumMod val="90000"/>
                <a:lumOff val="10000"/>
              </a:schemeClr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22</xdr:col>
      <xdr:colOff>361949</xdr:colOff>
      <xdr:row>5</xdr:row>
      <xdr:rowOff>171450</xdr:rowOff>
    </xdr:from>
    <xdr:to>
      <xdr:col>28</xdr:col>
      <xdr:colOff>285750</xdr:colOff>
      <xdr:row>32</xdr:row>
      <xdr:rowOff>123824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30F2B5DF-64ED-4160-A9DE-35C7877BFE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ssan Syria" refreshedDate="46026.83122291667" createdVersion="8" refreshedVersion="8" minRefreshableVersion="3" recordCount="889" xr:uid="{766B5BEB-CDF5-4C44-9A37-8EA99A8E2D3A}">
  <cacheSource type="worksheet">
    <worksheetSource name="Table2_2"/>
  </cacheSource>
  <cacheFields count="13">
    <cacheField name="Employee ID" numFmtId="0">
      <sharedItems containsSemiMixedTypes="0" containsString="0" containsNumber="1" containsInteger="1" minValue="1001" maxValue="1889" count="889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</sharedItems>
    </cacheField>
    <cacheField name="Age" numFmtId="0">
      <sharedItems containsSemiMixedTypes="0" containsString="0" containsNumber="1" containsInteger="1" minValue="21" maxValue="60"/>
    </cacheField>
    <cacheField name="Gender" numFmtId="0">
      <sharedItems/>
    </cacheField>
    <cacheField name="Department" numFmtId="0">
      <sharedItems count="6">
        <s v="Sales"/>
        <s v="Operations"/>
        <s v="IT"/>
        <s v="Marketing"/>
        <s v="HR"/>
        <s v="Finance"/>
      </sharedItems>
    </cacheField>
    <cacheField name="Role" numFmtId="0">
      <sharedItems/>
    </cacheField>
    <cacheField name="Manager" numFmtId="0">
      <sharedItems/>
    </cacheField>
    <cacheField name="Salary" numFmtId="0">
      <sharedItems containsSemiMixedTypes="0" containsString="0" containsNumber="1" containsInteger="1" minValue="45004" maxValue="109947" count="881">
        <n v="96883"/>
        <n v="45004"/>
        <n v="57054"/>
        <n v="60564"/>
        <n v="103148"/>
        <n v="109322"/>
        <n v="89178"/>
        <n v="83409"/>
        <n v="66465"/>
        <n v="62677"/>
        <n v="48019"/>
        <n v="99941"/>
        <n v="100930"/>
        <n v="56257"/>
        <n v="89670"/>
        <n v="104400"/>
        <n v="85244"/>
        <n v="49472"/>
        <n v="46860"/>
        <n v="97764"/>
        <n v="90697"/>
        <n v="83927"/>
        <n v="59112"/>
        <n v="62733"/>
        <n v="99025"/>
        <n v="101253"/>
        <n v="45278"/>
        <n v="93665"/>
        <n v="74101"/>
        <n v="85018"/>
        <n v="78900"/>
        <n v="78249"/>
        <n v="48259"/>
        <n v="103617"/>
        <n v="57227"/>
        <n v="71066"/>
        <n v="80825"/>
        <n v="63701"/>
        <n v="55672"/>
        <n v="58476"/>
        <n v="89655"/>
        <n v="71693"/>
        <n v="107299"/>
        <n v="75897"/>
        <n v="63383"/>
        <n v="109014"/>
        <n v="82854"/>
        <n v="59019"/>
        <n v="109824"/>
        <n v="83473"/>
        <n v="54599"/>
        <n v="98358"/>
        <n v="91878"/>
        <n v="71151"/>
        <n v="56599"/>
        <n v="76848"/>
        <n v="104193"/>
        <n v="80514"/>
        <n v="102895"/>
        <n v="94123"/>
        <n v="97855"/>
        <n v="46218"/>
        <n v="85877"/>
        <n v="61990"/>
        <n v="58879"/>
        <n v="75413"/>
        <n v="74982"/>
        <n v="55241"/>
        <n v="89995"/>
        <n v="72619"/>
        <n v="79699"/>
        <n v="55102"/>
        <n v="91120"/>
        <n v="108483"/>
        <n v="106302"/>
        <n v="95950"/>
        <n v="72636"/>
        <n v="57476"/>
        <n v="93371"/>
        <n v="88161"/>
        <n v="87302"/>
        <n v="86434"/>
        <n v="50405"/>
        <n v="97369"/>
        <n v="86747"/>
        <n v="45374"/>
        <n v="99575"/>
        <n v="101696"/>
        <n v="102594"/>
        <n v="65304"/>
        <n v="82648"/>
        <n v="83591"/>
        <n v="52987"/>
        <n v="74523"/>
        <n v="74446"/>
        <n v="94645"/>
        <n v="47366"/>
        <n v="60164"/>
        <n v="71862"/>
        <n v="89395"/>
        <n v="72318"/>
        <n v="66232"/>
        <n v="64240"/>
        <n v="50073"/>
        <n v="97985"/>
        <n v="56027"/>
        <n v="100291"/>
        <n v="98907"/>
        <n v="87540"/>
        <n v="72592"/>
        <n v="56543"/>
        <n v="47252"/>
        <n v="89968"/>
        <n v="83674"/>
        <n v="45667"/>
        <n v="57903"/>
        <n v="86254"/>
        <n v="96778"/>
        <n v="79360"/>
        <n v="68020"/>
        <n v="96272"/>
        <n v="58693"/>
        <n v="85507"/>
        <n v="67670"/>
        <n v="69512"/>
        <n v="74695"/>
        <n v="109670"/>
        <n v="77199"/>
        <n v="57724"/>
        <n v="89999"/>
        <n v="53809"/>
        <n v="103107"/>
        <n v="90672"/>
        <n v="104320"/>
        <n v="89035"/>
        <n v="64823"/>
        <n v="108984"/>
        <n v="93122"/>
        <n v="89859"/>
        <n v="66928"/>
        <n v="49076"/>
        <n v="55842"/>
        <n v="84090"/>
        <n v="88156"/>
        <n v="76414"/>
        <n v="95941"/>
        <n v="91870"/>
        <n v="97372"/>
        <n v="102068"/>
        <n v="54458"/>
        <n v="91439"/>
        <n v="50137"/>
        <n v="85095"/>
        <n v="75947"/>
        <n v="99259"/>
        <n v="50494"/>
        <n v="77060"/>
        <n v="56135"/>
        <n v="72316"/>
        <n v="107327"/>
        <n v="79213"/>
        <n v="72281"/>
        <n v="69098"/>
        <n v="93372"/>
        <n v="54987"/>
        <n v="99245"/>
        <n v="101626"/>
        <n v="71520"/>
        <n v="56710"/>
        <n v="103207"/>
        <n v="82136"/>
        <n v="55995"/>
        <n v="83353"/>
        <n v="102682"/>
        <n v="87282"/>
        <n v="78505"/>
        <n v="78866"/>
        <n v="54967"/>
        <n v="79975"/>
        <n v="50661"/>
        <n v="61382"/>
        <n v="79097"/>
        <n v="91061"/>
        <n v="84207"/>
        <n v="95945"/>
        <n v="78749"/>
        <n v="88945"/>
        <n v="89299"/>
        <n v="74141"/>
        <n v="107196"/>
        <n v="93153"/>
        <n v="96516"/>
        <n v="80097"/>
        <n v="89762"/>
        <n v="56769"/>
        <n v="66664"/>
        <n v="68203"/>
        <n v="50204"/>
        <n v="54552"/>
        <n v="86988"/>
        <n v="103293"/>
        <n v="99613"/>
        <n v="82752"/>
        <n v="97196"/>
        <n v="103326"/>
        <n v="106148"/>
        <n v="104930"/>
        <n v="52900"/>
        <n v="56213"/>
        <n v="108167"/>
        <n v="75427"/>
        <n v="96244"/>
        <n v="68888"/>
        <n v="78515"/>
        <n v="50533"/>
        <n v="64469"/>
        <n v="77232"/>
        <n v="85804"/>
        <n v="50081"/>
        <n v="102577"/>
        <n v="59318"/>
        <n v="62349"/>
        <n v="97360"/>
        <n v="63318"/>
        <n v="72227"/>
        <n v="73673"/>
        <n v="99349"/>
        <n v="77809"/>
        <n v="58091"/>
        <n v="95307"/>
        <n v="108143"/>
        <n v="49604"/>
        <n v="100682"/>
        <n v="51665"/>
        <n v="93831"/>
        <n v="53149"/>
        <n v="103662"/>
        <n v="87029"/>
        <n v="82812"/>
        <n v="65052"/>
        <n v="70194"/>
        <n v="55082"/>
        <n v="86528"/>
        <n v="69768"/>
        <n v="74116"/>
        <n v="70725"/>
        <n v="93067"/>
        <n v="75242"/>
        <n v="92041"/>
        <n v="108901"/>
        <n v="104192"/>
        <n v="49886"/>
        <n v="74694"/>
        <n v="47194"/>
        <n v="87554"/>
        <n v="80630"/>
        <n v="73479"/>
        <n v="61712"/>
        <n v="51580"/>
        <n v="62588"/>
        <n v="45703"/>
        <n v="56534"/>
        <n v="50828"/>
        <n v="104453"/>
        <n v="78059"/>
        <n v="102854"/>
        <n v="95089"/>
        <n v="59316"/>
        <n v="106753"/>
        <n v="60634"/>
        <n v="100358"/>
        <n v="103323"/>
        <n v="64597"/>
        <n v="47550"/>
        <n v="100272"/>
        <n v="86743"/>
        <n v="75940"/>
        <n v="59166"/>
        <n v="89449"/>
        <n v="49495"/>
        <n v="103287"/>
        <n v="85818"/>
        <n v="90509"/>
        <n v="75195"/>
        <n v="46220"/>
        <n v="93583"/>
        <n v="93815"/>
        <n v="54281"/>
        <n v="84873"/>
        <n v="67831"/>
        <n v="82658"/>
        <n v="68292"/>
        <n v="47570"/>
        <n v="108704"/>
        <n v="72446"/>
        <n v="104043"/>
        <n v="46414"/>
        <n v="51296"/>
        <n v="87283"/>
        <n v="84931"/>
        <n v="101756"/>
        <n v="59765"/>
        <n v="71692"/>
        <n v="94524"/>
        <n v="47887"/>
        <n v="107484"/>
        <n v="93642"/>
        <n v="107346"/>
        <n v="54506"/>
        <n v="60753"/>
        <n v="49691"/>
        <n v="80942"/>
        <n v="98599"/>
        <n v="53064"/>
        <n v="84188"/>
        <n v="93293"/>
        <n v="85761"/>
        <n v="89849"/>
        <n v="72657"/>
        <n v="80272"/>
        <n v="71758"/>
        <n v="56073"/>
        <n v="71481"/>
        <n v="61792"/>
        <n v="75485"/>
        <n v="90274"/>
        <n v="99136"/>
        <n v="79966"/>
        <n v="83672"/>
        <n v="94637"/>
        <n v="95808"/>
        <n v="70406"/>
        <n v="81587"/>
        <n v="109035"/>
        <n v="90624"/>
        <n v="82354"/>
        <n v="73121"/>
        <n v="105212"/>
        <n v="91066"/>
        <n v="55008"/>
        <n v="92861"/>
        <n v="45047"/>
        <n v="64286"/>
        <n v="89826"/>
        <n v="83375"/>
        <n v="70523"/>
        <n v="80402"/>
        <n v="81920"/>
        <n v="48712"/>
        <n v="51210"/>
        <n v="75665"/>
        <n v="96210"/>
        <n v="56179"/>
        <n v="84192"/>
        <n v="51649"/>
        <n v="99820"/>
        <n v="84452"/>
        <n v="46742"/>
        <n v="59828"/>
        <n v="64580"/>
        <n v="81261"/>
        <n v="82416"/>
        <n v="64998"/>
        <n v="68745"/>
        <n v="104048"/>
        <n v="83359"/>
        <n v="50874"/>
        <n v="56701"/>
        <n v="50020"/>
        <n v="87071"/>
        <n v="104355"/>
        <n v="72933"/>
        <n v="104878"/>
        <n v="58164"/>
        <n v="85013"/>
        <n v="85719"/>
        <n v="49628"/>
        <n v="107948"/>
        <n v="86514"/>
        <n v="81272"/>
        <n v="80562"/>
        <n v="88953"/>
        <n v="51743"/>
        <n v="108942"/>
        <n v="53788"/>
        <n v="74760"/>
        <n v="81546"/>
        <n v="66016"/>
        <n v="93420"/>
        <n v="87569"/>
        <n v="69513"/>
        <n v="97377"/>
        <n v="72732"/>
        <n v="53548"/>
        <n v="77975"/>
        <n v="101852"/>
        <n v="53850"/>
        <n v="92140"/>
        <n v="109025"/>
        <n v="64124"/>
        <n v="108818"/>
        <n v="95514"/>
        <n v="55875"/>
        <n v="83652"/>
        <n v="61898"/>
        <n v="57963"/>
        <n v="64490"/>
        <n v="82651"/>
        <n v="93510"/>
        <n v="94729"/>
        <n v="84125"/>
        <n v="56402"/>
        <n v="67099"/>
        <n v="67870"/>
        <n v="79040"/>
        <n v="100966"/>
        <n v="54880"/>
        <n v="74190"/>
        <n v="100667"/>
        <n v="79660"/>
        <n v="51308"/>
        <n v="98780"/>
        <n v="79078"/>
        <n v="107847"/>
        <n v="96387"/>
        <n v="60852"/>
        <n v="83444"/>
        <n v="74070"/>
        <n v="84739"/>
        <n v="102171"/>
        <n v="47705"/>
        <n v="46998"/>
        <n v="88699"/>
        <n v="90200"/>
        <n v="78581"/>
        <n v="88735"/>
        <n v="93373"/>
        <n v="54005"/>
        <n v="91402"/>
        <n v="67366"/>
        <n v="64659"/>
        <n v="71450"/>
        <n v="55789"/>
        <n v="91995"/>
        <n v="71036"/>
        <n v="93485"/>
        <n v="51752"/>
        <n v="46544"/>
        <n v="103550"/>
        <n v="107286"/>
        <n v="74381"/>
        <n v="76251"/>
        <n v="94816"/>
        <n v="57370"/>
        <n v="52809"/>
        <n v="58555"/>
        <n v="99357"/>
        <n v="67090"/>
        <n v="99343"/>
        <n v="90620"/>
        <n v="64409"/>
        <n v="92944"/>
        <n v="77534"/>
        <n v="82212"/>
        <n v="59297"/>
        <n v="86581"/>
        <n v="67685"/>
        <n v="74213"/>
        <n v="101822"/>
        <n v="56944"/>
        <n v="83350"/>
        <n v="61380"/>
        <n v="89100"/>
        <n v="66289"/>
        <n v="69132"/>
        <n v="73570"/>
        <n v="108954"/>
        <n v="99971"/>
        <n v="77101"/>
        <n v="76774"/>
        <n v="51364"/>
        <n v="52855"/>
        <n v="90525"/>
        <n v="67202"/>
        <n v="89636"/>
        <n v="96913"/>
        <n v="84510"/>
        <n v="74370"/>
        <n v="89076"/>
        <n v="76579"/>
        <n v="109091"/>
        <n v="82604"/>
        <n v="94072"/>
        <n v="51694"/>
        <n v="78453"/>
        <n v="59543"/>
        <n v="77835"/>
        <n v="69438"/>
        <n v="53593"/>
        <n v="87381"/>
        <n v="73886"/>
        <n v="50715"/>
        <n v="84272"/>
        <n v="79217"/>
        <n v="68131"/>
        <n v="89553"/>
        <n v="108528"/>
        <n v="53401"/>
        <n v="83115"/>
        <n v="81316"/>
        <n v="101847"/>
        <n v="81259"/>
        <n v="56899"/>
        <n v="84395"/>
        <n v="56902"/>
        <n v="57775"/>
        <n v="95658"/>
        <n v="75100"/>
        <n v="53271"/>
        <n v="79732"/>
        <n v="79358"/>
        <n v="106159"/>
        <n v="77120"/>
        <n v="100542"/>
        <n v="82517"/>
        <n v="61685"/>
        <n v="81827"/>
        <n v="75849"/>
        <n v="72486"/>
        <n v="48420"/>
        <n v="104102"/>
        <n v="62225"/>
        <n v="86033"/>
        <n v="85500"/>
        <n v="87505"/>
        <n v="76113"/>
        <n v="98337"/>
        <n v="77510"/>
        <n v="108446"/>
        <n v="60333"/>
        <n v="78043"/>
        <n v="71428"/>
        <n v="109189"/>
        <n v="108628"/>
        <n v="74724"/>
        <n v="45840"/>
        <n v="56044"/>
        <n v="76409"/>
        <n v="88004"/>
        <n v="95121"/>
        <n v="53805"/>
        <n v="106418"/>
        <n v="85837"/>
        <n v="85178"/>
        <n v="66648"/>
        <n v="74299"/>
        <n v="83739"/>
        <n v="68986"/>
        <n v="77322"/>
        <n v="64041"/>
        <n v="48817"/>
        <n v="74551"/>
        <n v="46588"/>
        <n v="83983"/>
        <n v="59067"/>
        <n v="103788"/>
        <n v="57409"/>
        <n v="53139"/>
        <n v="46044"/>
        <n v="49378"/>
        <n v="99582"/>
        <n v="102164"/>
        <n v="56915"/>
        <n v="79846"/>
        <n v="91459"/>
        <n v="52336"/>
        <n v="91325"/>
        <n v="104302"/>
        <n v="51373"/>
        <n v="64786"/>
        <n v="97744"/>
        <n v="86168"/>
        <n v="97104"/>
        <n v="86661"/>
        <n v="78572"/>
        <n v="73449"/>
        <n v="54450"/>
        <n v="67337"/>
        <n v="96481"/>
        <n v="76307"/>
        <n v="92148"/>
        <n v="55389"/>
        <n v="49838"/>
        <n v="82452"/>
        <n v="107047"/>
        <n v="81015"/>
        <n v="68671"/>
        <n v="102539"/>
        <n v="59731"/>
        <n v="55659"/>
        <n v="58032"/>
        <n v="70543"/>
        <n v="60165"/>
        <n v="103723"/>
        <n v="79404"/>
        <n v="89893"/>
        <n v="59158"/>
        <n v="61840"/>
        <n v="60119"/>
        <n v="56580"/>
        <n v="65433"/>
        <n v="107042"/>
        <n v="94740"/>
        <n v="104188"/>
        <n v="58641"/>
        <n v="92855"/>
        <n v="69123"/>
        <n v="102414"/>
        <n v="70103"/>
        <n v="85228"/>
        <n v="89012"/>
        <n v="61826"/>
        <n v="90670"/>
        <n v="71461"/>
        <n v="96764"/>
        <n v="66164"/>
        <n v="50430"/>
        <n v="107714"/>
        <n v="57262"/>
        <n v="92078"/>
        <n v="63563"/>
        <n v="74379"/>
        <n v="70866"/>
        <n v="105499"/>
        <n v="78053"/>
        <n v="100801"/>
        <n v="89899"/>
        <n v="70831"/>
        <n v="103915"/>
        <n v="91136"/>
        <n v="68004"/>
        <n v="106752"/>
        <n v="94533"/>
        <n v="104348"/>
        <n v="81020"/>
        <n v="45106"/>
        <n v="81156"/>
        <n v="93249"/>
        <n v="53869"/>
        <n v="94735"/>
        <n v="87633"/>
        <n v="76206"/>
        <n v="66008"/>
        <n v="82395"/>
        <n v="51032"/>
        <n v="60661"/>
        <n v="70679"/>
        <n v="84660"/>
        <n v="94833"/>
        <n v="60917"/>
        <n v="101833"/>
        <n v="68545"/>
        <n v="79326"/>
        <n v="50189"/>
        <n v="49177"/>
        <n v="107148"/>
        <n v="57095"/>
        <n v="49256"/>
        <n v="60989"/>
        <n v="85744"/>
        <n v="93480"/>
        <n v="89959"/>
        <n v="67413"/>
        <n v="101548"/>
        <n v="102623"/>
        <n v="90580"/>
        <n v="83378"/>
        <n v="51372"/>
        <n v="59090"/>
        <n v="76646"/>
        <n v="97848"/>
        <n v="86248"/>
        <n v="61715"/>
        <n v="86932"/>
        <n v="96687"/>
        <n v="48403"/>
        <n v="105766"/>
        <n v="47924"/>
        <n v="55897"/>
        <n v="91199"/>
        <n v="107889"/>
        <n v="61001"/>
        <n v="67751"/>
        <n v="65864"/>
        <n v="59794"/>
        <n v="69441"/>
        <n v="48257"/>
        <n v="79446"/>
        <n v="72395"/>
        <n v="72378"/>
        <n v="95479"/>
        <n v="79939"/>
        <n v="58942"/>
        <n v="81225"/>
        <n v="95191"/>
        <n v="51934"/>
        <n v="89499"/>
        <n v="88087"/>
        <n v="56957"/>
        <n v="102079"/>
        <n v="68732"/>
        <n v="45401"/>
        <n v="73301"/>
        <n v="61993"/>
        <n v="55763"/>
        <n v="105659"/>
        <n v="47572"/>
        <n v="89764"/>
        <n v="59833"/>
        <n v="89209"/>
        <n v="73574"/>
        <n v="63122"/>
        <n v="108622"/>
        <n v="78070"/>
        <n v="70034"/>
        <n v="102726"/>
        <n v="69996"/>
        <n v="83961"/>
        <n v="83696"/>
        <n v="93438"/>
        <n v="46371"/>
        <n v="87526"/>
        <n v="96147"/>
        <n v="93357"/>
        <n v="99875"/>
        <n v="59611"/>
        <n v="72664"/>
        <n v="71539"/>
        <n v="56314"/>
        <n v="84798"/>
        <n v="53342"/>
        <n v="71216"/>
        <n v="100540"/>
        <n v="74220"/>
        <n v="58581"/>
        <n v="73585"/>
        <n v="71359"/>
        <n v="82581"/>
        <n v="66421"/>
        <n v="92991"/>
        <n v="52368"/>
        <n v="74139"/>
        <n v="109551"/>
        <n v="58144"/>
        <n v="83390"/>
        <n v="47462"/>
        <n v="45347"/>
        <n v="61178"/>
        <n v="79585"/>
        <n v="81141"/>
        <n v="87686"/>
        <n v="60366"/>
        <n v="96910"/>
        <n v="53267"/>
        <n v="75391"/>
        <n v="102207"/>
        <n v="60071"/>
        <n v="63305"/>
        <n v="108402"/>
        <n v="60645"/>
        <n v="71033"/>
        <n v="73039"/>
        <n v="89109"/>
        <n v="87072"/>
        <n v="72372"/>
        <n v="47646"/>
        <n v="50048"/>
        <n v="76064"/>
        <n v="79764"/>
        <n v="101046"/>
        <n v="107177"/>
        <n v="101397"/>
        <n v="102762"/>
        <n v="47096"/>
        <n v="77314"/>
        <n v="96164"/>
        <n v="73411"/>
        <n v="65819"/>
        <n v="69554"/>
        <n v="88159"/>
        <n v="46744"/>
        <n v="73451"/>
        <n v="109392"/>
        <n v="87898"/>
        <n v="77727"/>
        <n v="93659"/>
        <n v="73961"/>
        <n v="70868"/>
        <n v="48136"/>
        <n v="89311"/>
        <n v="91876"/>
        <n v="85297"/>
        <n v="80745"/>
        <n v="93857"/>
        <n v="53976"/>
        <n v="75757"/>
        <n v="57643"/>
        <n v="105610"/>
        <n v="107579"/>
        <n v="82049"/>
        <n v="95678"/>
        <n v="88180"/>
        <n v="52075"/>
        <n v="96886"/>
        <n v="67319"/>
        <n v="103385"/>
        <n v="47940"/>
        <n v="95418"/>
        <n v="54245"/>
        <n v="82874"/>
        <n v="100762"/>
        <n v="47179"/>
        <n v="48264"/>
        <n v="47506"/>
        <n v="47673"/>
        <n v="93785"/>
        <n v="73904"/>
        <n v="109736"/>
        <n v="91723"/>
        <n v="90311"/>
        <n v="49412"/>
        <n v="83891"/>
        <n v="56332"/>
        <n v="87698"/>
        <n v="81303"/>
        <n v="83368"/>
        <n v="106399"/>
        <n v="91416"/>
        <n v="63818"/>
        <n v="56688"/>
        <n v="109947"/>
        <n v="53126"/>
        <n v="50836"/>
        <n v="105293"/>
        <n v="99020"/>
        <n v="59011"/>
        <n v="66503"/>
        <n v="88866"/>
        <n v="57172"/>
        <n v="100532"/>
        <n v="98031"/>
        <n v="65822"/>
        <n v="78150"/>
        <n v="81427"/>
        <n v="101721"/>
        <n v="74249"/>
        <n v="77938"/>
        <n v="59470"/>
        <n v="57354"/>
        <n v="61513"/>
        <n v="73181"/>
        <n v="89769"/>
        <n v="66096"/>
        <n v="61448"/>
        <n v="51633"/>
        <n v="95200"/>
        <n v="89951"/>
        <n v="60414"/>
        <n v="83553"/>
        <n v="81713"/>
        <n v="102676"/>
        <n v="94272"/>
        <n v="58804"/>
        <n v="99695"/>
        <n v="56743"/>
        <n v="103161"/>
        <n v="71029"/>
        <n v="94909"/>
        <n v="68648"/>
        <n v="57753"/>
        <n v="84214"/>
      </sharedItems>
    </cacheField>
    <cacheField name="Absences" numFmtId="0">
      <sharedItems containsSemiMixedTypes="0" containsString="0" containsNumber="1" containsInteger="1" minValue="0" maxValue="30"/>
    </cacheField>
    <cacheField name="Overtime Hours" numFmtId="0">
      <sharedItems containsSemiMixedTypes="0" containsString="0" containsNumber="1" containsInteger="1" minValue="0" maxValue="60"/>
    </cacheField>
    <cacheField name="Performance Rating" numFmtId="0">
      <sharedItems containsString="0" containsBlank="1" containsNumber="1" containsInteger="1" minValue="1" maxValue="5"/>
    </cacheField>
    <cacheField name="Satisfaction Score" numFmtId="0">
      <sharedItems containsSemiMixedTypes="0" containsString="0" containsNumber="1" containsInteger="1" minValue="1" maxValue="10"/>
    </cacheField>
    <cacheField name="Hire Date" numFmtId="22">
      <sharedItems containsSemiMixedTypes="0" containsNonDate="0" containsDate="1" containsString="0" minDate="2015-01-03T00:00:00" maxDate="2024-12-29T00:00:00"/>
    </cacheField>
    <cacheField name="Exit Date" numFmtId="22">
      <sharedItems containsNonDate="0" containsDate="1" containsString="0" containsBlank="1" minDate="2016-01-02T00:00:00" maxDate="2024-12-23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ssan Syria" refreshedDate="46027.631831944447" createdVersion="8" refreshedVersion="8" minRefreshableVersion="3" recordCount="889" xr:uid="{DB5A4A46-142C-4594-9E93-15E89DB42565}">
  <cacheSource type="worksheet">
    <worksheetSource name="Table2_4"/>
  </cacheSource>
  <cacheFields count="14">
    <cacheField name="Employee ID" numFmtId="0">
      <sharedItems containsSemiMixedTypes="0" containsString="0" containsNumber="1" containsInteger="1" minValue="1001" maxValue="1889"/>
    </cacheField>
    <cacheField name="Age" numFmtId="0">
      <sharedItems containsSemiMixedTypes="0" containsString="0" containsNumber="1" containsInteger="1" minValue="21" maxValue="60"/>
    </cacheField>
    <cacheField name="Gender" numFmtId="0">
      <sharedItems/>
    </cacheField>
    <cacheField name="Department" numFmtId="0">
      <sharedItems count="6">
        <s v="Sales"/>
        <s v="Operations"/>
        <s v="IT"/>
        <s v="Marketing"/>
        <s v="HR"/>
        <s v="Finance"/>
      </sharedItems>
    </cacheField>
    <cacheField name="Role" numFmtId="0">
      <sharedItems/>
    </cacheField>
    <cacheField name="Manager" numFmtId="0">
      <sharedItems/>
    </cacheField>
    <cacheField name="Salary" numFmtId="0">
      <sharedItems containsSemiMixedTypes="0" containsString="0" containsNumber="1" containsInteger="1" minValue="45004" maxValue="109947"/>
    </cacheField>
    <cacheField name="Absences" numFmtId="0">
      <sharedItems containsSemiMixedTypes="0" containsString="0" containsNumber="1" containsInteger="1" minValue="0" maxValue="30"/>
    </cacheField>
    <cacheField name="Overtime Hours" numFmtId="0">
      <sharedItems containsSemiMixedTypes="0" containsString="0" containsNumber="1" containsInteger="1" minValue="0" maxValue="60"/>
    </cacheField>
    <cacheField name="Performance Rating" numFmtId="0">
      <sharedItems containsString="0" containsBlank="1" containsNumber="1" containsInteger="1" minValue="1" maxValue="5" count="6">
        <n v="3"/>
        <n v="4"/>
        <n v="1"/>
        <n v="2"/>
        <m/>
        <n v="5"/>
      </sharedItems>
    </cacheField>
    <cacheField name="Satisfaction Score" numFmtId="0">
      <sharedItems containsSemiMixedTypes="0" containsString="0" containsNumber="1" containsInteger="1" minValue="1" maxValue="10"/>
    </cacheField>
    <cacheField name="Hire Date" numFmtId="14">
      <sharedItems containsSemiMixedTypes="0" containsNonDate="0" containsDate="1" containsString="0" minDate="2015-01-03T00:00:00" maxDate="2024-12-29T00:00:00"/>
    </cacheField>
    <cacheField name="Exit Date" numFmtId="14">
      <sharedItems containsNonDate="0" containsDate="1" containsString="0" containsBlank="1" minDate="2016-01-02T00:00:00" maxDate="2024-12-23T00:00:00"/>
    </cacheField>
    <cacheField name="Employment Status" numFmtId="0">
      <sharedItems count="2">
        <s v="Active"/>
        <s v="Exit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9">
  <r>
    <x v="0"/>
    <n v="22"/>
    <s v="Female"/>
    <x v="0"/>
    <s v="Specialist"/>
    <s v="Fatima Noor"/>
    <x v="0"/>
    <n v="24"/>
    <n v="43"/>
    <n v="3"/>
    <n v="9"/>
    <d v="2021-03-25T00:00:00"/>
    <m/>
  </r>
  <r>
    <x v="1"/>
    <n v="32"/>
    <s v="Male"/>
    <x v="1"/>
    <s v="Specialist"/>
    <s v="Ahmad Hassan"/>
    <x v="1"/>
    <n v="17"/>
    <n v="7"/>
    <n v="4"/>
    <n v="10"/>
    <d v="2017-03-06T00:00:00"/>
    <d v="2022-07-09T00:00:00"/>
  </r>
  <r>
    <x v="2"/>
    <n v="31"/>
    <s v="Male"/>
    <x v="2"/>
    <s v="Analyst"/>
    <s v="Omar Khalid"/>
    <x v="2"/>
    <n v="12"/>
    <n v="18"/>
    <n v="1"/>
    <n v="1"/>
    <d v="2024-04-07T00:00:00"/>
    <m/>
  </r>
  <r>
    <x v="3"/>
    <n v="34"/>
    <s v="Female"/>
    <x v="3"/>
    <s v="Manager"/>
    <s v="Emily Brown"/>
    <x v="3"/>
    <n v="27"/>
    <n v="6"/>
    <n v="2"/>
    <n v="2"/>
    <d v="2016-07-28T00:00:00"/>
    <m/>
  </r>
  <r>
    <x v="4"/>
    <n v="38"/>
    <s v="Male"/>
    <x v="2"/>
    <s v="Associate"/>
    <s v="David Miller"/>
    <x v="4"/>
    <n v="2"/>
    <n v="29"/>
    <n v="2"/>
    <n v="1"/>
    <d v="2019-04-16T00:00:00"/>
    <d v="2017-02-08T00:00:00"/>
  </r>
  <r>
    <x v="5"/>
    <n v="22"/>
    <s v="Female"/>
    <x v="1"/>
    <s v="Associate"/>
    <s v="Sarah Lee"/>
    <x v="5"/>
    <n v="1"/>
    <n v="35"/>
    <n v="3"/>
    <n v="8"/>
    <d v="2023-04-06T00:00:00"/>
    <m/>
  </r>
  <r>
    <x v="6"/>
    <n v="59"/>
    <s v="Female"/>
    <x v="4"/>
    <s v="Senior Analyst"/>
    <s v="Emily Brown"/>
    <x v="6"/>
    <n v="5"/>
    <n v="14"/>
    <n v="4"/>
    <n v="4"/>
    <d v="2017-03-08T00:00:00"/>
    <d v="2017-01-25T00:00:00"/>
  </r>
  <r>
    <x v="7"/>
    <n v="27"/>
    <s v="Female"/>
    <x v="0"/>
    <s v="Specialist"/>
    <s v="Fatima Noor"/>
    <x v="7"/>
    <n v="25"/>
    <n v="58"/>
    <n v="1"/>
    <n v="10"/>
    <d v="2016-10-24T00:00:00"/>
    <m/>
  </r>
  <r>
    <x v="8"/>
    <n v="44"/>
    <s v="Male"/>
    <x v="4"/>
    <s v="Analyst"/>
    <s v="David Miller"/>
    <x v="8"/>
    <n v="21"/>
    <n v="32"/>
    <m/>
    <n v="7"/>
    <d v="2021-07-01T00:00:00"/>
    <m/>
  </r>
  <r>
    <x v="9"/>
    <n v="49"/>
    <s v="Male"/>
    <x v="1"/>
    <s v="Manager"/>
    <s v="David Miller"/>
    <x v="9"/>
    <n v="9"/>
    <n v="42"/>
    <n v="4"/>
    <n v="7"/>
    <d v="2015-08-09T00:00:00"/>
    <m/>
  </r>
  <r>
    <x v="10"/>
    <n v="30"/>
    <s v="Male"/>
    <x v="5"/>
    <s v="Specialist"/>
    <s v="John Carter"/>
    <x v="10"/>
    <n v="12"/>
    <n v="33"/>
    <n v="3"/>
    <n v="4"/>
    <d v="2023-08-18T00:00:00"/>
    <m/>
  </r>
  <r>
    <x v="11"/>
    <n v="49"/>
    <s v="Male"/>
    <x v="3"/>
    <s v="Associate"/>
    <s v="David Miller"/>
    <x v="11"/>
    <n v="25"/>
    <n v="26"/>
    <n v="3"/>
    <n v="3"/>
    <d v="2022-08-21T00:00:00"/>
    <d v="2024-03-01T00:00:00"/>
  </r>
  <r>
    <x v="12"/>
    <n v="50"/>
    <s v="Female"/>
    <x v="4"/>
    <s v="Manager"/>
    <s v="Sarah Lee"/>
    <x v="12"/>
    <n v="7"/>
    <n v="44"/>
    <m/>
    <n v="7"/>
    <d v="2024-10-01T00:00:00"/>
    <m/>
  </r>
  <r>
    <x v="13"/>
    <n v="55"/>
    <s v="Male"/>
    <x v="3"/>
    <s v="Manager"/>
    <s v="John Carter"/>
    <x v="13"/>
    <n v="14"/>
    <n v="38"/>
    <n v="5"/>
    <n v="8"/>
    <d v="2015-06-16T00:00:00"/>
    <m/>
  </r>
  <r>
    <x v="14"/>
    <n v="39"/>
    <s v="Male"/>
    <x v="2"/>
    <s v="Manager"/>
    <s v="Omar Khalid"/>
    <x v="14"/>
    <n v="22"/>
    <n v="26"/>
    <n v="2"/>
    <n v="10"/>
    <d v="2020-06-13T00:00:00"/>
    <m/>
  </r>
  <r>
    <x v="15"/>
    <n v="23"/>
    <s v="Male"/>
    <x v="2"/>
    <s v="Manager"/>
    <s v="Omar Khalid"/>
    <x v="15"/>
    <n v="12"/>
    <n v="16"/>
    <n v="2"/>
    <n v="9"/>
    <d v="2022-10-10T00:00:00"/>
    <d v="2022-12-20T00:00:00"/>
  </r>
  <r>
    <x v="16"/>
    <n v="32"/>
    <s v="Male"/>
    <x v="1"/>
    <s v="Senior Analyst"/>
    <s v="John Carter"/>
    <x v="16"/>
    <n v="20"/>
    <n v="40"/>
    <m/>
    <n v="4"/>
    <d v="2023-03-08T00:00:00"/>
    <d v="2022-07-09T00:00:00"/>
  </r>
  <r>
    <x v="17"/>
    <n v="30"/>
    <s v="Male"/>
    <x v="3"/>
    <s v="Specialist"/>
    <s v="Ahmad Hassan"/>
    <x v="17"/>
    <n v="28"/>
    <n v="45"/>
    <n v="1"/>
    <n v="10"/>
    <d v="2023-04-25T00:00:00"/>
    <m/>
  </r>
  <r>
    <x v="18"/>
    <n v="23"/>
    <s v="Male"/>
    <x v="0"/>
    <s v="Senior Analyst"/>
    <s v="Omar Khalid"/>
    <x v="18"/>
    <n v="24"/>
    <n v="3"/>
    <n v="2"/>
    <n v="7"/>
    <d v="2024-10-06T00:00:00"/>
    <d v="2016-09-28T00:00:00"/>
  </r>
  <r>
    <x v="19"/>
    <n v="59"/>
    <s v="Male"/>
    <x v="2"/>
    <s v="Manager"/>
    <s v="Omar Khalid"/>
    <x v="19"/>
    <n v="6"/>
    <n v="2"/>
    <m/>
    <n v="1"/>
    <d v="2023-07-04T00:00:00"/>
    <m/>
  </r>
  <r>
    <x v="20"/>
    <n v="29"/>
    <s v="Male"/>
    <x v="5"/>
    <s v="Manager"/>
    <s v="David Miller"/>
    <x v="1"/>
    <n v="29"/>
    <n v="57"/>
    <n v="4"/>
    <n v="9"/>
    <d v="2023-07-05T00:00:00"/>
    <m/>
  </r>
  <r>
    <x v="21"/>
    <n v="22"/>
    <s v="Female"/>
    <x v="0"/>
    <s v="Associate"/>
    <s v="Fatima Noor"/>
    <x v="20"/>
    <n v="27"/>
    <n v="20"/>
    <n v="3"/>
    <n v="9"/>
    <d v="2020-07-02T00:00:00"/>
    <m/>
  </r>
  <r>
    <x v="22"/>
    <n v="26"/>
    <s v="Female"/>
    <x v="5"/>
    <s v="Specialist"/>
    <s v="Fatima Noor"/>
    <x v="21"/>
    <n v="20"/>
    <n v="47"/>
    <n v="4"/>
    <n v="10"/>
    <d v="2019-09-14T00:00:00"/>
    <m/>
  </r>
  <r>
    <x v="23"/>
    <n v="24"/>
    <s v="Male"/>
    <x v="0"/>
    <s v="Specialist"/>
    <s v="Ahmad Hassan"/>
    <x v="22"/>
    <n v="20"/>
    <n v="4"/>
    <n v="1"/>
    <n v="2"/>
    <d v="2017-06-18T00:00:00"/>
    <d v="2017-02-25T00:00:00"/>
  </r>
  <r>
    <x v="24"/>
    <n v="33"/>
    <s v="Male"/>
    <x v="0"/>
    <s v="Analyst"/>
    <s v="John Carter"/>
    <x v="23"/>
    <n v="7"/>
    <n v="3"/>
    <n v="3"/>
    <n v="2"/>
    <d v="2017-04-16T00:00:00"/>
    <m/>
  </r>
  <r>
    <x v="25"/>
    <n v="54"/>
    <s v="Male"/>
    <x v="0"/>
    <s v="Associate"/>
    <s v="David Miller"/>
    <x v="24"/>
    <n v="14"/>
    <n v="45"/>
    <n v="1"/>
    <n v="1"/>
    <d v="2023-11-17T00:00:00"/>
    <m/>
  </r>
  <r>
    <x v="26"/>
    <n v="33"/>
    <s v="Female"/>
    <x v="2"/>
    <s v="Manager"/>
    <s v="Fatima Noor"/>
    <x v="25"/>
    <n v="18"/>
    <n v="27"/>
    <n v="4"/>
    <n v="10"/>
    <d v="2019-04-06T00:00:00"/>
    <m/>
  </r>
  <r>
    <x v="27"/>
    <n v="23"/>
    <s v="Male"/>
    <x v="3"/>
    <s v="Specialist"/>
    <s v="John Carter"/>
    <x v="26"/>
    <n v="17"/>
    <n v="23"/>
    <m/>
    <n v="1"/>
    <d v="2020-02-02T00:00:00"/>
    <m/>
  </r>
  <r>
    <x v="28"/>
    <n v="23"/>
    <s v="Male"/>
    <x v="5"/>
    <s v="Associate"/>
    <s v="David Miller"/>
    <x v="27"/>
    <n v="4"/>
    <n v="30"/>
    <n v="2"/>
    <n v="6"/>
    <d v="2023-06-20T00:00:00"/>
    <d v="2019-02-11T00:00:00"/>
  </r>
  <r>
    <x v="29"/>
    <n v="38"/>
    <s v="Female"/>
    <x v="2"/>
    <s v="Analyst"/>
    <s v="Emily Brown"/>
    <x v="28"/>
    <n v="24"/>
    <n v="46"/>
    <n v="1"/>
    <n v="6"/>
    <d v="2023-02-25T00:00:00"/>
    <m/>
  </r>
  <r>
    <x v="30"/>
    <n v="24"/>
    <s v="Female"/>
    <x v="3"/>
    <s v="Specialist"/>
    <s v="Emily Brown"/>
    <x v="29"/>
    <n v="8"/>
    <n v="24"/>
    <n v="2"/>
    <n v="2"/>
    <d v="2015-04-18T00:00:00"/>
    <m/>
  </r>
  <r>
    <x v="31"/>
    <n v="38"/>
    <s v="Male"/>
    <x v="0"/>
    <s v="Analyst"/>
    <s v="John Carter"/>
    <x v="30"/>
    <n v="12"/>
    <n v="6"/>
    <n v="1"/>
    <n v="7"/>
    <d v="2015-06-12T00:00:00"/>
    <m/>
  </r>
  <r>
    <x v="32"/>
    <n v="59"/>
    <s v="Female"/>
    <x v="4"/>
    <s v="Specialist"/>
    <s v="Emily Brown"/>
    <x v="31"/>
    <n v="30"/>
    <n v="41"/>
    <n v="2"/>
    <n v="10"/>
    <d v="2015-02-21T00:00:00"/>
    <m/>
  </r>
  <r>
    <x v="33"/>
    <n v="37"/>
    <s v="Female"/>
    <x v="0"/>
    <s v="Analyst"/>
    <s v="Emily Brown"/>
    <x v="32"/>
    <n v="26"/>
    <n v="57"/>
    <n v="4"/>
    <n v="8"/>
    <d v="2018-09-22T00:00:00"/>
    <d v="2017-06-01T00:00:00"/>
  </r>
  <r>
    <x v="34"/>
    <n v="51"/>
    <s v="Male"/>
    <x v="0"/>
    <s v="Specialist"/>
    <s v="Omar Khalid"/>
    <x v="33"/>
    <n v="19"/>
    <n v="26"/>
    <n v="2"/>
    <n v="3"/>
    <d v="2023-11-23T00:00:00"/>
    <m/>
  </r>
  <r>
    <x v="35"/>
    <n v="50"/>
    <s v="Female"/>
    <x v="3"/>
    <s v="Analyst"/>
    <s v="Sarah Lee"/>
    <x v="34"/>
    <n v="10"/>
    <n v="5"/>
    <n v="5"/>
    <n v="8"/>
    <d v="2023-12-03T00:00:00"/>
    <m/>
  </r>
  <r>
    <x v="36"/>
    <n v="44"/>
    <s v="Female"/>
    <x v="2"/>
    <s v="Associate"/>
    <s v="Emily Brown"/>
    <x v="35"/>
    <n v="30"/>
    <n v="8"/>
    <m/>
    <n v="5"/>
    <d v="2019-02-21T00:00:00"/>
    <m/>
  </r>
  <r>
    <x v="37"/>
    <n v="33"/>
    <s v="Male"/>
    <x v="5"/>
    <s v="Specialist"/>
    <s v="Ahmad Hassan"/>
    <x v="36"/>
    <n v="0"/>
    <n v="44"/>
    <n v="3"/>
    <n v="3"/>
    <d v="2015-10-03T00:00:00"/>
    <d v="2022-06-22T00:00:00"/>
  </r>
  <r>
    <x v="38"/>
    <n v="23"/>
    <s v="Female"/>
    <x v="4"/>
    <s v="Analyst"/>
    <s v="Sarah Lee"/>
    <x v="37"/>
    <n v="23"/>
    <n v="55"/>
    <n v="4"/>
    <n v="3"/>
    <d v="2023-06-15T00:00:00"/>
    <d v="2017-07-24T00:00:00"/>
  </r>
  <r>
    <x v="39"/>
    <n v="26"/>
    <s v="Female"/>
    <x v="0"/>
    <s v="Manager"/>
    <s v="Sarah Lee"/>
    <x v="38"/>
    <n v="3"/>
    <n v="52"/>
    <n v="3"/>
    <n v="1"/>
    <d v="2021-08-08T00:00:00"/>
    <m/>
  </r>
  <r>
    <x v="40"/>
    <n v="29"/>
    <s v="Female"/>
    <x v="0"/>
    <s v="Analyst"/>
    <s v="Sarah Lee"/>
    <x v="39"/>
    <n v="9"/>
    <n v="34"/>
    <n v="3"/>
    <n v="2"/>
    <d v="2020-09-19T00:00:00"/>
    <m/>
  </r>
  <r>
    <x v="41"/>
    <n v="58"/>
    <s v="Male"/>
    <x v="0"/>
    <s v="Associate"/>
    <s v="John Carter"/>
    <x v="40"/>
    <n v="22"/>
    <n v="55"/>
    <n v="1"/>
    <n v="3"/>
    <d v="2023-10-17T00:00:00"/>
    <m/>
  </r>
  <r>
    <x v="42"/>
    <n v="30"/>
    <s v="Female"/>
    <x v="3"/>
    <s v="Senior Analyst"/>
    <s v="Sarah Lee"/>
    <x v="41"/>
    <n v="8"/>
    <n v="1"/>
    <m/>
    <n v="4"/>
    <d v="2021-04-06T00:00:00"/>
    <d v="2017-12-04T00:00:00"/>
  </r>
  <r>
    <x v="43"/>
    <n v="23"/>
    <s v="Female"/>
    <x v="1"/>
    <s v="Senior Analyst"/>
    <s v="Emily Brown"/>
    <x v="42"/>
    <n v="1"/>
    <n v="36"/>
    <n v="1"/>
    <n v="8"/>
    <d v="2022-06-13T00:00:00"/>
    <m/>
  </r>
  <r>
    <x v="44"/>
    <n v="28"/>
    <s v="Female"/>
    <x v="3"/>
    <s v="Associate"/>
    <s v="Emily Brown"/>
    <x v="43"/>
    <n v="14"/>
    <n v="54"/>
    <m/>
    <n v="4"/>
    <d v="2017-03-16T00:00:00"/>
    <d v="2018-09-17T00:00:00"/>
  </r>
  <r>
    <x v="45"/>
    <n v="35"/>
    <s v="Female"/>
    <x v="5"/>
    <s v="Manager"/>
    <s v="Emily Brown"/>
    <x v="44"/>
    <n v="17"/>
    <n v="33"/>
    <n v="1"/>
    <n v="4"/>
    <d v="2015-11-26T00:00:00"/>
    <d v="2022-11-08T00:00:00"/>
  </r>
  <r>
    <x v="46"/>
    <n v="45"/>
    <s v="Female"/>
    <x v="1"/>
    <s v="Specialist"/>
    <s v="Sarah Lee"/>
    <x v="45"/>
    <n v="28"/>
    <n v="48"/>
    <n v="5"/>
    <n v="4"/>
    <d v="2015-03-15T00:00:00"/>
    <m/>
  </r>
  <r>
    <x v="47"/>
    <n v="53"/>
    <s v="Male"/>
    <x v="3"/>
    <s v="Senior Analyst"/>
    <s v="Ahmad Hassan"/>
    <x v="46"/>
    <n v="5"/>
    <n v="19"/>
    <n v="4"/>
    <n v="10"/>
    <d v="2022-04-09T00:00:00"/>
    <d v="2017-06-11T00:00:00"/>
  </r>
  <r>
    <x v="48"/>
    <n v="43"/>
    <s v="Female"/>
    <x v="4"/>
    <s v="Analyst"/>
    <s v="Sarah Lee"/>
    <x v="47"/>
    <n v="14"/>
    <n v="34"/>
    <m/>
    <n v="5"/>
    <d v="2018-01-11T00:00:00"/>
    <m/>
  </r>
  <r>
    <x v="49"/>
    <n v="25"/>
    <s v="Male"/>
    <x v="1"/>
    <s v="Manager"/>
    <s v="Ahmad Hassan"/>
    <x v="48"/>
    <n v="17"/>
    <n v="38"/>
    <n v="2"/>
    <n v="3"/>
    <d v="2017-05-13T00:00:00"/>
    <m/>
  </r>
  <r>
    <x v="50"/>
    <n v="25"/>
    <s v="Female"/>
    <x v="5"/>
    <s v="Senior Analyst"/>
    <s v="Emily Brown"/>
    <x v="49"/>
    <n v="22"/>
    <n v="57"/>
    <m/>
    <n v="2"/>
    <d v="2017-10-18T00:00:00"/>
    <m/>
  </r>
  <r>
    <x v="51"/>
    <n v="26"/>
    <s v="Female"/>
    <x v="2"/>
    <s v="Senior Analyst"/>
    <s v="Sarah Lee"/>
    <x v="50"/>
    <n v="12"/>
    <n v="25"/>
    <n v="2"/>
    <n v="3"/>
    <d v="2016-11-04T00:00:00"/>
    <m/>
  </r>
  <r>
    <x v="52"/>
    <n v="28"/>
    <s v="Male"/>
    <x v="5"/>
    <s v="Specialist"/>
    <s v="Ahmad Hassan"/>
    <x v="51"/>
    <n v="27"/>
    <n v="20"/>
    <n v="3"/>
    <n v="4"/>
    <d v="2016-05-27T00:00:00"/>
    <d v="2019-09-03T00:00:00"/>
  </r>
  <r>
    <x v="53"/>
    <n v="33"/>
    <s v="Female"/>
    <x v="4"/>
    <s v="Manager"/>
    <s v="Sarah Lee"/>
    <x v="52"/>
    <n v="20"/>
    <n v="45"/>
    <n v="4"/>
    <n v="10"/>
    <d v="2019-01-19T00:00:00"/>
    <m/>
  </r>
  <r>
    <x v="54"/>
    <n v="30"/>
    <s v="Female"/>
    <x v="1"/>
    <s v="Manager"/>
    <s v="Fatima Noor"/>
    <x v="53"/>
    <n v="7"/>
    <n v="45"/>
    <n v="1"/>
    <n v="1"/>
    <d v="2019-10-14T00:00:00"/>
    <m/>
  </r>
  <r>
    <x v="55"/>
    <n v="43"/>
    <s v="Female"/>
    <x v="5"/>
    <s v="Associate"/>
    <s v="Emily Brown"/>
    <x v="54"/>
    <n v="24"/>
    <n v="9"/>
    <m/>
    <n v="1"/>
    <d v="2024-05-28T00:00:00"/>
    <d v="2022-09-25T00:00:00"/>
  </r>
  <r>
    <x v="56"/>
    <n v="41"/>
    <s v="Male"/>
    <x v="3"/>
    <s v="Senior Analyst"/>
    <s v="Omar Khalid"/>
    <x v="55"/>
    <n v="23"/>
    <n v="32"/>
    <n v="1"/>
    <n v="4"/>
    <d v="2018-09-12T00:00:00"/>
    <m/>
  </r>
  <r>
    <x v="57"/>
    <n v="33"/>
    <s v="Male"/>
    <x v="2"/>
    <s v="Senior Analyst"/>
    <s v="John Carter"/>
    <x v="56"/>
    <n v="1"/>
    <n v="42"/>
    <n v="1"/>
    <n v="4"/>
    <d v="2019-04-17T00:00:00"/>
    <m/>
  </r>
  <r>
    <x v="58"/>
    <n v="25"/>
    <s v="Female"/>
    <x v="0"/>
    <s v="Manager"/>
    <s v="Sarah Lee"/>
    <x v="57"/>
    <n v="19"/>
    <n v="28"/>
    <n v="3"/>
    <n v="8"/>
    <d v="2021-05-03T00:00:00"/>
    <m/>
  </r>
  <r>
    <x v="59"/>
    <n v="26"/>
    <s v="Male"/>
    <x v="0"/>
    <s v="Specialist"/>
    <s v="Ahmad Hassan"/>
    <x v="58"/>
    <n v="17"/>
    <n v="43"/>
    <n v="5"/>
    <n v="4"/>
    <d v="2016-01-21T00:00:00"/>
    <m/>
  </r>
  <r>
    <x v="60"/>
    <n v="53"/>
    <s v="Male"/>
    <x v="2"/>
    <s v="Manager"/>
    <s v="John Carter"/>
    <x v="59"/>
    <n v="15"/>
    <n v="47"/>
    <n v="2"/>
    <n v="1"/>
    <d v="2020-07-06T00:00:00"/>
    <d v="2024-12-11T00:00:00"/>
  </r>
  <r>
    <x v="61"/>
    <n v="45"/>
    <s v="Male"/>
    <x v="5"/>
    <s v="Manager"/>
    <s v="Omar Khalid"/>
    <x v="60"/>
    <n v="8"/>
    <n v="59"/>
    <n v="5"/>
    <n v="6"/>
    <d v="2022-12-22T00:00:00"/>
    <d v="2016-01-05T00:00:00"/>
  </r>
  <r>
    <x v="62"/>
    <n v="27"/>
    <s v="Male"/>
    <x v="2"/>
    <s v="Associate"/>
    <s v="Omar Khalid"/>
    <x v="61"/>
    <n v="21"/>
    <n v="53"/>
    <m/>
    <n v="2"/>
    <d v="2015-07-06T00:00:00"/>
    <d v="2020-06-17T00:00:00"/>
  </r>
  <r>
    <x v="63"/>
    <n v="60"/>
    <s v="Female"/>
    <x v="5"/>
    <s v="Manager"/>
    <s v="Sarah Lee"/>
    <x v="62"/>
    <n v="25"/>
    <n v="49"/>
    <n v="4"/>
    <n v="2"/>
    <d v="2023-02-09T00:00:00"/>
    <d v="2016-01-02T00:00:00"/>
  </r>
  <r>
    <x v="64"/>
    <n v="22"/>
    <s v="Male"/>
    <x v="5"/>
    <s v="Analyst"/>
    <s v="David Miller"/>
    <x v="63"/>
    <n v="9"/>
    <n v="22"/>
    <n v="5"/>
    <n v="9"/>
    <d v="2019-10-26T00:00:00"/>
    <m/>
  </r>
  <r>
    <x v="65"/>
    <n v="35"/>
    <s v="Male"/>
    <x v="2"/>
    <s v="Senior Analyst"/>
    <s v="Ahmad Hassan"/>
    <x v="64"/>
    <n v="13"/>
    <n v="38"/>
    <n v="4"/>
    <n v="1"/>
    <d v="2019-11-26T00:00:00"/>
    <d v="2021-08-04T00:00:00"/>
  </r>
  <r>
    <x v="66"/>
    <n v="24"/>
    <s v="Female"/>
    <x v="2"/>
    <s v="Associate"/>
    <s v="Fatima Noor"/>
    <x v="65"/>
    <n v="6"/>
    <n v="46"/>
    <n v="5"/>
    <n v="7"/>
    <d v="2016-09-15T00:00:00"/>
    <d v="2023-11-15T00:00:00"/>
  </r>
  <r>
    <x v="67"/>
    <n v="42"/>
    <s v="Male"/>
    <x v="1"/>
    <s v="Senior Analyst"/>
    <s v="David Miller"/>
    <x v="66"/>
    <n v="2"/>
    <n v="23"/>
    <n v="2"/>
    <n v="8"/>
    <d v="2022-11-13T00:00:00"/>
    <d v="2022-07-25T00:00:00"/>
  </r>
  <r>
    <x v="68"/>
    <n v="43"/>
    <s v="Female"/>
    <x v="4"/>
    <s v="Associate"/>
    <s v="Emily Brown"/>
    <x v="67"/>
    <n v="23"/>
    <n v="12"/>
    <n v="4"/>
    <n v="3"/>
    <d v="2022-03-05T00:00:00"/>
    <m/>
  </r>
  <r>
    <x v="69"/>
    <n v="26"/>
    <s v="Female"/>
    <x v="2"/>
    <s v="Manager"/>
    <s v="Fatima Noor"/>
    <x v="68"/>
    <n v="14"/>
    <n v="43"/>
    <m/>
    <n v="5"/>
    <d v="2023-03-03T00:00:00"/>
    <m/>
  </r>
  <r>
    <x v="70"/>
    <n v="60"/>
    <s v="Female"/>
    <x v="2"/>
    <s v="Specialist"/>
    <s v="Fatima Noor"/>
    <x v="69"/>
    <n v="27"/>
    <n v="11"/>
    <n v="4"/>
    <n v="4"/>
    <d v="2022-04-20T00:00:00"/>
    <d v="2018-03-20T00:00:00"/>
  </r>
  <r>
    <x v="71"/>
    <n v="53"/>
    <s v="Female"/>
    <x v="4"/>
    <s v="Specialist"/>
    <s v="Emily Brown"/>
    <x v="70"/>
    <n v="21"/>
    <n v="51"/>
    <n v="4"/>
    <n v="3"/>
    <d v="2020-01-20T00:00:00"/>
    <m/>
  </r>
  <r>
    <x v="72"/>
    <n v="48"/>
    <s v="Female"/>
    <x v="3"/>
    <s v="Analyst"/>
    <s v="Emily Brown"/>
    <x v="71"/>
    <n v="12"/>
    <n v="34"/>
    <n v="2"/>
    <n v="9"/>
    <d v="2022-06-06T00:00:00"/>
    <m/>
  </r>
  <r>
    <x v="73"/>
    <n v="24"/>
    <s v="Female"/>
    <x v="0"/>
    <s v="Senior Analyst"/>
    <s v="Sarah Lee"/>
    <x v="72"/>
    <n v="0"/>
    <n v="0"/>
    <n v="2"/>
    <n v="6"/>
    <d v="2022-05-06T00:00:00"/>
    <m/>
  </r>
  <r>
    <x v="74"/>
    <n v="56"/>
    <s v="Male"/>
    <x v="5"/>
    <s v="Senior Analyst"/>
    <s v="John Carter"/>
    <x v="73"/>
    <n v="0"/>
    <n v="45"/>
    <n v="3"/>
    <n v="4"/>
    <d v="2016-11-16T00:00:00"/>
    <m/>
  </r>
  <r>
    <x v="75"/>
    <n v="44"/>
    <s v="Female"/>
    <x v="2"/>
    <s v="Manager"/>
    <s v="Sarah Lee"/>
    <x v="74"/>
    <n v="18"/>
    <n v="35"/>
    <m/>
    <n v="5"/>
    <d v="2017-01-21T00:00:00"/>
    <m/>
  </r>
  <r>
    <x v="76"/>
    <n v="52"/>
    <s v="Male"/>
    <x v="2"/>
    <s v="Associate"/>
    <s v="David Miller"/>
    <x v="75"/>
    <n v="24"/>
    <n v="51"/>
    <n v="1"/>
    <n v="7"/>
    <d v="2017-06-22T00:00:00"/>
    <d v="2019-02-05T00:00:00"/>
  </r>
  <r>
    <x v="77"/>
    <n v="56"/>
    <s v="Male"/>
    <x v="2"/>
    <s v="Specialist"/>
    <s v="Ahmad Hassan"/>
    <x v="76"/>
    <n v="14"/>
    <n v="39"/>
    <n v="4"/>
    <n v="2"/>
    <d v="2024-01-25T00:00:00"/>
    <m/>
  </r>
  <r>
    <x v="78"/>
    <n v="26"/>
    <s v="Female"/>
    <x v="5"/>
    <s v="Manager"/>
    <s v="Sarah Lee"/>
    <x v="77"/>
    <n v="6"/>
    <n v="56"/>
    <n v="3"/>
    <n v="6"/>
    <d v="2016-02-16T00:00:00"/>
    <d v="2023-07-19T00:00:00"/>
  </r>
  <r>
    <x v="79"/>
    <n v="27"/>
    <s v="Male"/>
    <x v="2"/>
    <s v="Manager"/>
    <s v="Omar Khalid"/>
    <x v="78"/>
    <n v="26"/>
    <n v="53"/>
    <n v="3"/>
    <n v="3"/>
    <d v="2023-11-08T00:00:00"/>
    <m/>
  </r>
  <r>
    <x v="80"/>
    <n v="45"/>
    <s v="Female"/>
    <x v="4"/>
    <s v="Manager"/>
    <s v="Sarah Lee"/>
    <x v="79"/>
    <n v="10"/>
    <n v="19"/>
    <n v="4"/>
    <n v="3"/>
    <d v="2017-02-28T00:00:00"/>
    <m/>
  </r>
  <r>
    <x v="81"/>
    <n v="36"/>
    <s v="Male"/>
    <x v="3"/>
    <s v="Specialist"/>
    <s v="Ahmad Hassan"/>
    <x v="80"/>
    <n v="1"/>
    <n v="20"/>
    <n v="1"/>
    <n v="1"/>
    <d v="2015-02-22T00:00:00"/>
    <m/>
  </r>
  <r>
    <x v="82"/>
    <n v="23"/>
    <s v="Female"/>
    <x v="5"/>
    <s v="Analyst"/>
    <s v="Sarah Lee"/>
    <x v="81"/>
    <n v="25"/>
    <n v="57"/>
    <n v="5"/>
    <n v="6"/>
    <d v="2024-01-01T00:00:00"/>
    <m/>
  </r>
  <r>
    <x v="83"/>
    <n v="24"/>
    <s v="Female"/>
    <x v="5"/>
    <s v="Senior Analyst"/>
    <s v="Fatima Noor"/>
    <x v="82"/>
    <n v="17"/>
    <n v="59"/>
    <m/>
    <n v="5"/>
    <d v="2022-07-23T00:00:00"/>
    <m/>
  </r>
  <r>
    <x v="84"/>
    <n v="54"/>
    <s v="Female"/>
    <x v="3"/>
    <s v="Senior Analyst"/>
    <s v="Fatima Noor"/>
    <x v="83"/>
    <n v="26"/>
    <n v="26"/>
    <n v="5"/>
    <n v="1"/>
    <d v="2021-06-03T00:00:00"/>
    <m/>
  </r>
  <r>
    <x v="85"/>
    <n v="44"/>
    <s v="Male"/>
    <x v="2"/>
    <s v="Analyst"/>
    <s v="Ahmad Hassan"/>
    <x v="84"/>
    <n v="16"/>
    <n v="33"/>
    <n v="5"/>
    <n v="10"/>
    <d v="2023-01-28T00:00:00"/>
    <m/>
  </r>
  <r>
    <x v="86"/>
    <n v="51"/>
    <s v="Male"/>
    <x v="0"/>
    <s v="Specialist"/>
    <s v="Ahmad Hassan"/>
    <x v="85"/>
    <n v="10"/>
    <n v="39"/>
    <n v="2"/>
    <n v="2"/>
    <d v="2024-04-04T00:00:00"/>
    <d v="2022-01-09T00:00:00"/>
  </r>
  <r>
    <x v="87"/>
    <n v="56"/>
    <s v="Female"/>
    <x v="5"/>
    <s v="Manager"/>
    <s v="Emily Brown"/>
    <x v="86"/>
    <n v="15"/>
    <n v="3"/>
    <n v="5"/>
    <n v="9"/>
    <d v="2019-04-26T00:00:00"/>
    <d v="2019-04-11T00:00:00"/>
  </r>
  <r>
    <x v="88"/>
    <n v="48"/>
    <s v="Female"/>
    <x v="2"/>
    <s v="Analyst"/>
    <s v="Sarah Lee"/>
    <x v="87"/>
    <n v="21"/>
    <n v="52"/>
    <n v="3"/>
    <n v="10"/>
    <d v="2019-04-04T00:00:00"/>
    <d v="2021-05-26T00:00:00"/>
  </r>
  <r>
    <x v="89"/>
    <n v="46"/>
    <s v="Male"/>
    <x v="0"/>
    <s v="Senior Analyst"/>
    <s v="David Miller"/>
    <x v="88"/>
    <n v="7"/>
    <n v="13"/>
    <n v="1"/>
    <n v="1"/>
    <d v="2016-07-25T00:00:00"/>
    <m/>
  </r>
  <r>
    <x v="90"/>
    <n v="51"/>
    <s v="Male"/>
    <x v="2"/>
    <s v="Specialist"/>
    <s v="Omar Khalid"/>
    <x v="89"/>
    <n v="27"/>
    <n v="8"/>
    <n v="5"/>
    <n v="10"/>
    <d v="2020-01-23T00:00:00"/>
    <m/>
  </r>
  <r>
    <x v="91"/>
    <n v="54"/>
    <s v="Male"/>
    <x v="4"/>
    <s v="Specialist"/>
    <s v="John Carter"/>
    <x v="90"/>
    <n v="1"/>
    <n v="9"/>
    <n v="2"/>
    <n v="8"/>
    <d v="2023-06-05T00:00:00"/>
    <m/>
  </r>
  <r>
    <x v="92"/>
    <n v="43"/>
    <s v="Male"/>
    <x v="3"/>
    <s v="Associate"/>
    <s v="David Miller"/>
    <x v="91"/>
    <n v="18"/>
    <n v="50"/>
    <m/>
    <n v="6"/>
    <d v="2020-07-01T00:00:00"/>
    <d v="2022-04-07T00:00:00"/>
  </r>
  <r>
    <x v="93"/>
    <n v="53"/>
    <s v="Male"/>
    <x v="0"/>
    <s v="Associate"/>
    <s v="John Carter"/>
    <x v="92"/>
    <n v="13"/>
    <n v="27"/>
    <n v="5"/>
    <n v="5"/>
    <d v="2019-07-24T00:00:00"/>
    <d v="2021-08-06T00:00:00"/>
  </r>
  <r>
    <x v="94"/>
    <n v="33"/>
    <s v="Male"/>
    <x v="4"/>
    <s v="Manager"/>
    <s v="Omar Khalid"/>
    <x v="93"/>
    <n v="20"/>
    <n v="4"/>
    <n v="3"/>
    <n v="1"/>
    <d v="2021-05-02T00:00:00"/>
    <m/>
  </r>
  <r>
    <x v="95"/>
    <n v="43"/>
    <s v="Male"/>
    <x v="0"/>
    <s v="Senior Analyst"/>
    <s v="Omar Khalid"/>
    <x v="94"/>
    <n v="3"/>
    <n v="22"/>
    <n v="4"/>
    <n v="3"/>
    <d v="2018-05-27T00:00:00"/>
    <m/>
  </r>
  <r>
    <x v="96"/>
    <n v="59"/>
    <s v="Female"/>
    <x v="3"/>
    <s v="Associate"/>
    <s v="Fatima Noor"/>
    <x v="95"/>
    <n v="23"/>
    <n v="14"/>
    <n v="4"/>
    <n v="1"/>
    <d v="2022-09-22T00:00:00"/>
    <m/>
  </r>
  <r>
    <x v="97"/>
    <n v="22"/>
    <s v="Male"/>
    <x v="5"/>
    <s v="Senior Analyst"/>
    <s v="Ahmad Hassan"/>
    <x v="96"/>
    <n v="17"/>
    <n v="13"/>
    <n v="2"/>
    <n v="4"/>
    <d v="2021-11-03T00:00:00"/>
    <d v="2019-05-14T00:00:00"/>
  </r>
  <r>
    <x v="98"/>
    <n v="34"/>
    <s v="Female"/>
    <x v="5"/>
    <s v="Specialist"/>
    <s v="Sarah Lee"/>
    <x v="97"/>
    <n v="30"/>
    <n v="24"/>
    <n v="3"/>
    <n v="3"/>
    <d v="2020-03-16T00:00:00"/>
    <m/>
  </r>
  <r>
    <x v="99"/>
    <n v="35"/>
    <s v="Female"/>
    <x v="1"/>
    <s v="Senior Analyst"/>
    <s v="Sarah Lee"/>
    <x v="98"/>
    <n v="25"/>
    <n v="46"/>
    <n v="3"/>
    <n v="9"/>
    <d v="2015-06-01T00:00:00"/>
    <m/>
  </r>
  <r>
    <x v="100"/>
    <n v="48"/>
    <s v="Female"/>
    <x v="0"/>
    <s v="Analyst"/>
    <s v="Fatima Noor"/>
    <x v="99"/>
    <n v="16"/>
    <n v="3"/>
    <n v="2"/>
    <n v="7"/>
    <d v="2019-09-01T00:00:00"/>
    <m/>
  </r>
  <r>
    <x v="101"/>
    <n v="45"/>
    <s v="Male"/>
    <x v="2"/>
    <s v="Senior Analyst"/>
    <s v="Omar Khalid"/>
    <x v="100"/>
    <n v="15"/>
    <n v="52"/>
    <n v="4"/>
    <n v="7"/>
    <d v="2021-02-24T00:00:00"/>
    <m/>
  </r>
  <r>
    <x v="102"/>
    <n v="28"/>
    <s v="Male"/>
    <x v="2"/>
    <s v="Analyst"/>
    <s v="John Carter"/>
    <x v="101"/>
    <n v="25"/>
    <n v="33"/>
    <n v="3"/>
    <n v="4"/>
    <d v="2015-04-06T00:00:00"/>
    <m/>
  </r>
  <r>
    <x v="103"/>
    <n v="58"/>
    <s v="Male"/>
    <x v="0"/>
    <s v="Senior Analyst"/>
    <s v="Ahmad Hassan"/>
    <x v="102"/>
    <n v="3"/>
    <n v="17"/>
    <n v="2"/>
    <n v="9"/>
    <d v="2024-08-25T00:00:00"/>
    <m/>
  </r>
  <r>
    <x v="104"/>
    <n v="55"/>
    <s v="Male"/>
    <x v="4"/>
    <s v="Manager"/>
    <s v="Ahmad Hassan"/>
    <x v="103"/>
    <n v="13"/>
    <n v="37"/>
    <n v="5"/>
    <n v="7"/>
    <d v="2016-11-15T00:00:00"/>
    <m/>
  </r>
  <r>
    <x v="105"/>
    <n v="30"/>
    <s v="Female"/>
    <x v="5"/>
    <s v="Manager"/>
    <s v="Sarah Lee"/>
    <x v="104"/>
    <n v="20"/>
    <n v="24"/>
    <m/>
    <n v="1"/>
    <d v="2018-02-26T00:00:00"/>
    <m/>
  </r>
  <r>
    <x v="106"/>
    <n v="59"/>
    <s v="Male"/>
    <x v="2"/>
    <s v="Associate"/>
    <s v="Ahmad Hassan"/>
    <x v="105"/>
    <n v="14"/>
    <n v="48"/>
    <n v="1"/>
    <n v="6"/>
    <d v="2018-05-05T00:00:00"/>
    <d v="2019-01-19T00:00:00"/>
  </r>
  <r>
    <x v="107"/>
    <n v="26"/>
    <s v="Male"/>
    <x v="0"/>
    <s v="Senior Analyst"/>
    <s v="John Carter"/>
    <x v="106"/>
    <n v="16"/>
    <n v="51"/>
    <n v="1"/>
    <n v="1"/>
    <d v="2020-06-21T00:00:00"/>
    <m/>
  </r>
  <r>
    <x v="108"/>
    <n v="34"/>
    <s v="Female"/>
    <x v="5"/>
    <s v="Analyst"/>
    <s v="Fatima Noor"/>
    <x v="107"/>
    <n v="27"/>
    <n v="33"/>
    <n v="4"/>
    <n v="3"/>
    <d v="2020-01-24T00:00:00"/>
    <m/>
  </r>
  <r>
    <x v="109"/>
    <n v="28"/>
    <s v="Male"/>
    <x v="3"/>
    <s v="Manager"/>
    <s v="Omar Khalid"/>
    <x v="108"/>
    <n v="0"/>
    <n v="10"/>
    <n v="4"/>
    <n v="5"/>
    <d v="2021-07-25T00:00:00"/>
    <m/>
  </r>
  <r>
    <x v="110"/>
    <n v="41"/>
    <s v="Male"/>
    <x v="4"/>
    <s v="Senior Analyst"/>
    <s v="Ahmad Hassan"/>
    <x v="109"/>
    <n v="18"/>
    <n v="15"/>
    <m/>
    <n v="2"/>
    <d v="2019-04-11T00:00:00"/>
    <m/>
  </r>
  <r>
    <x v="111"/>
    <n v="54"/>
    <s v="Male"/>
    <x v="2"/>
    <s v="Associate"/>
    <s v="John Carter"/>
    <x v="110"/>
    <n v="22"/>
    <n v="39"/>
    <n v="1"/>
    <n v="8"/>
    <d v="2019-12-20T00:00:00"/>
    <m/>
  </r>
  <r>
    <x v="112"/>
    <n v="33"/>
    <s v="Female"/>
    <x v="4"/>
    <s v="Manager"/>
    <s v="Sarah Lee"/>
    <x v="111"/>
    <n v="10"/>
    <n v="36"/>
    <n v="2"/>
    <n v="9"/>
    <d v="2022-04-15T00:00:00"/>
    <m/>
  </r>
  <r>
    <x v="113"/>
    <n v="57"/>
    <s v="Female"/>
    <x v="3"/>
    <s v="Specialist"/>
    <s v="Emily Brown"/>
    <x v="112"/>
    <n v="9"/>
    <n v="51"/>
    <n v="5"/>
    <n v="2"/>
    <d v="2015-09-16T00:00:00"/>
    <m/>
  </r>
  <r>
    <x v="114"/>
    <n v="28"/>
    <s v="Female"/>
    <x v="3"/>
    <s v="Associate"/>
    <s v="Fatima Noor"/>
    <x v="113"/>
    <n v="23"/>
    <n v="13"/>
    <n v="2"/>
    <n v="2"/>
    <d v="2022-04-23T00:00:00"/>
    <m/>
  </r>
  <r>
    <x v="115"/>
    <n v="25"/>
    <s v="Female"/>
    <x v="1"/>
    <s v="Senior Analyst"/>
    <s v="Fatima Noor"/>
    <x v="114"/>
    <n v="29"/>
    <n v="51"/>
    <n v="2"/>
    <n v="5"/>
    <d v="2015-03-13T00:00:00"/>
    <m/>
  </r>
  <r>
    <x v="116"/>
    <n v="37"/>
    <s v="Female"/>
    <x v="2"/>
    <s v="Manager"/>
    <s v="Sarah Lee"/>
    <x v="115"/>
    <n v="29"/>
    <n v="42"/>
    <n v="4"/>
    <n v="4"/>
    <d v="2017-02-16T00:00:00"/>
    <m/>
  </r>
  <r>
    <x v="117"/>
    <n v="55"/>
    <s v="Female"/>
    <x v="2"/>
    <s v="Associate"/>
    <s v="Sarah Lee"/>
    <x v="116"/>
    <n v="16"/>
    <n v="21"/>
    <n v="4"/>
    <n v="10"/>
    <d v="2017-11-03T00:00:00"/>
    <m/>
  </r>
  <r>
    <x v="118"/>
    <n v="53"/>
    <s v="Male"/>
    <x v="0"/>
    <s v="Senior Analyst"/>
    <s v="John Carter"/>
    <x v="117"/>
    <n v="28"/>
    <n v="18"/>
    <n v="1"/>
    <n v="6"/>
    <d v="2023-06-19T00:00:00"/>
    <m/>
  </r>
  <r>
    <x v="119"/>
    <n v="53"/>
    <s v="Male"/>
    <x v="3"/>
    <s v="Senior Analyst"/>
    <s v="Ahmad Hassan"/>
    <x v="118"/>
    <n v="18"/>
    <n v="24"/>
    <m/>
    <n v="8"/>
    <d v="2022-02-23T00:00:00"/>
    <m/>
  </r>
  <r>
    <x v="120"/>
    <n v="54"/>
    <s v="Male"/>
    <x v="5"/>
    <s v="Analyst"/>
    <s v="John Carter"/>
    <x v="119"/>
    <n v="1"/>
    <n v="44"/>
    <n v="4"/>
    <n v="2"/>
    <d v="2015-05-12T00:00:00"/>
    <m/>
  </r>
  <r>
    <x v="121"/>
    <n v="22"/>
    <s v="Female"/>
    <x v="5"/>
    <s v="Senior Analyst"/>
    <s v="Sarah Lee"/>
    <x v="120"/>
    <n v="23"/>
    <n v="55"/>
    <n v="5"/>
    <n v="4"/>
    <d v="2019-03-27T00:00:00"/>
    <d v="2022-04-28T00:00:00"/>
  </r>
  <r>
    <x v="122"/>
    <n v="41"/>
    <s v="Female"/>
    <x v="4"/>
    <s v="Specialist"/>
    <s v="Emily Brown"/>
    <x v="121"/>
    <n v="0"/>
    <n v="44"/>
    <n v="1"/>
    <n v="7"/>
    <d v="2019-06-01T00:00:00"/>
    <m/>
  </r>
  <r>
    <x v="123"/>
    <n v="38"/>
    <s v="Female"/>
    <x v="3"/>
    <s v="Associate"/>
    <s v="Sarah Lee"/>
    <x v="122"/>
    <n v="20"/>
    <n v="51"/>
    <n v="2"/>
    <n v="9"/>
    <d v="2016-04-19T00:00:00"/>
    <m/>
  </r>
  <r>
    <x v="124"/>
    <n v="41"/>
    <s v="Female"/>
    <x v="5"/>
    <s v="Manager"/>
    <s v="Fatima Noor"/>
    <x v="123"/>
    <n v="7"/>
    <n v="37"/>
    <n v="4"/>
    <n v="10"/>
    <d v="2022-12-10T00:00:00"/>
    <m/>
  </r>
  <r>
    <x v="125"/>
    <n v="44"/>
    <s v="Female"/>
    <x v="2"/>
    <s v="Associate"/>
    <s v="Fatima Noor"/>
    <x v="124"/>
    <n v="1"/>
    <n v="1"/>
    <n v="3"/>
    <n v="1"/>
    <d v="2023-11-11T00:00:00"/>
    <m/>
  </r>
  <r>
    <x v="126"/>
    <n v="22"/>
    <s v="Male"/>
    <x v="5"/>
    <s v="Specialist"/>
    <s v="Omar Khalid"/>
    <x v="125"/>
    <n v="26"/>
    <n v="27"/>
    <n v="3"/>
    <n v="2"/>
    <d v="2024-09-04T00:00:00"/>
    <d v="2024-06-13T00:00:00"/>
  </r>
  <r>
    <x v="127"/>
    <n v="53"/>
    <s v="Female"/>
    <x v="0"/>
    <s v="Manager"/>
    <s v="Sarah Lee"/>
    <x v="126"/>
    <n v="15"/>
    <n v="15"/>
    <n v="3"/>
    <n v="6"/>
    <d v="2021-10-07T00:00:00"/>
    <m/>
  </r>
  <r>
    <x v="128"/>
    <n v="43"/>
    <s v="Female"/>
    <x v="1"/>
    <s v="Analyst"/>
    <s v="Emily Brown"/>
    <x v="127"/>
    <n v="10"/>
    <n v="38"/>
    <n v="1"/>
    <n v="2"/>
    <d v="2023-05-15T00:00:00"/>
    <d v="2018-09-11T00:00:00"/>
  </r>
  <r>
    <x v="129"/>
    <n v="60"/>
    <s v="Female"/>
    <x v="0"/>
    <s v="Specialist"/>
    <s v="Fatima Noor"/>
    <x v="128"/>
    <n v="23"/>
    <n v="51"/>
    <n v="2"/>
    <n v="9"/>
    <d v="2016-04-27T00:00:00"/>
    <m/>
  </r>
  <r>
    <x v="130"/>
    <n v="43"/>
    <s v="Female"/>
    <x v="5"/>
    <s v="Manager"/>
    <s v="Fatima Noor"/>
    <x v="129"/>
    <n v="30"/>
    <n v="4"/>
    <n v="5"/>
    <n v="2"/>
    <d v="2018-11-08T00:00:00"/>
    <d v="2023-06-01T00:00:00"/>
  </r>
  <r>
    <x v="131"/>
    <n v="53"/>
    <s v="Female"/>
    <x v="2"/>
    <s v="Senior Analyst"/>
    <s v="Sarah Lee"/>
    <x v="130"/>
    <n v="25"/>
    <n v="48"/>
    <n v="3"/>
    <n v="8"/>
    <d v="2017-03-14T00:00:00"/>
    <m/>
  </r>
  <r>
    <x v="132"/>
    <n v="45"/>
    <s v="Female"/>
    <x v="4"/>
    <s v="Associate"/>
    <s v="Sarah Lee"/>
    <x v="131"/>
    <n v="18"/>
    <n v="52"/>
    <n v="5"/>
    <n v="10"/>
    <d v="2024-06-05T00:00:00"/>
    <d v="2024-07-02T00:00:00"/>
  </r>
  <r>
    <x v="133"/>
    <n v="27"/>
    <s v="Male"/>
    <x v="0"/>
    <s v="Senior Analyst"/>
    <s v="Ahmad Hassan"/>
    <x v="132"/>
    <n v="7"/>
    <n v="22"/>
    <n v="2"/>
    <n v="7"/>
    <d v="2023-09-26T00:00:00"/>
    <m/>
  </r>
  <r>
    <x v="134"/>
    <n v="55"/>
    <s v="Female"/>
    <x v="1"/>
    <s v="Specialist"/>
    <s v="Sarah Lee"/>
    <x v="133"/>
    <n v="13"/>
    <n v="30"/>
    <n v="2"/>
    <n v="7"/>
    <d v="2017-02-18T00:00:00"/>
    <m/>
  </r>
  <r>
    <x v="135"/>
    <n v="39"/>
    <s v="Female"/>
    <x v="0"/>
    <s v="Specialist"/>
    <s v="Sarah Lee"/>
    <x v="134"/>
    <n v="7"/>
    <n v="25"/>
    <n v="5"/>
    <n v="3"/>
    <d v="2020-01-19T00:00:00"/>
    <m/>
  </r>
  <r>
    <x v="136"/>
    <n v="24"/>
    <s v="Female"/>
    <x v="2"/>
    <s v="Manager"/>
    <s v="Fatima Noor"/>
    <x v="135"/>
    <n v="15"/>
    <n v="14"/>
    <n v="5"/>
    <n v="8"/>
    <d v="2015-09-27T00:00:00"/>
    <m/>
  </r>
  <r>
    <x v="137"/>
    <n v="34"/>
    <s v="Female"/>
    <x v="4"/>
    <s v="Senior Analyst"/>
    <s v="Sarah Lee"/>
    <x v="136"/>
    <n v="4"/>
    <n v="49"/>
    <n v="1"/>
    <n v="3"/>
    <d v="2023-01-15T00:00:00"/>
    <m/>
  </r>
  <r>
    <x v="138"/>
    <n v="57"/>
    <s v="Male"/>
    <x v="4"/>
    <s v="Specialist"/>
    <s v="David Miller"/>
    <x v="137"/>
    <n v="1"/>
    <n v="53"/>
    <n v="3"/>
    <n v="5"/>
    <d v="2017-07-25T00:00:00"/>
    <m/>
  </r>
  <r>
    <x v="139"/>
    <n v="54"/>
    <s v="Male"/>
    <x v="2"/>
    <s v="Senior Analyst"/>
    <s v="David Miller"/>
    <x v="138"/>
    <n v="22"/>
    <n v="37"/>
    <m/>
    <n v="5"/>
    <d v="2021-09-14T00:00:00"/>
    <d v="2021-04-28T00:00:00"/>
  </r>
  <r>
    <x v="140"/>
    <n v="31"/>
    <s v="Male"/>
    <x v="3"/>
    <s v="Senior Analyst"/>
    <s v="Omar Khalid"/>
    <x v="139"/>
    <n v="18"/>
    <n v="5"/>
    <n v="5"/>
    <n v="6"/>
    <d v="2024-03-10T00:00:00"/>
    <d v="2021-06-02T00:00:00"/>
  </r>
  <r>
    <x v="141"/>
    <n v="26"/>
    <s v="Male"/>
    <x v="1"/>
    <s v="Senior Analyst"/>
    <s v="Omar Khalid"/>
    <x v="140"/>
    <n v="25"/>
    <n v="9"/>
    <n v="3"/>
    <n v="1"/>
    <d v="2018-11-04T00:00:00"/>
    <m/>
  </r>
  <r>
    <x v="142"/>
    <n v="47"/>
    <s v="Male"/>
    <x v="2"/>
    <s v="Manager"/>
    <s v="David Miller"/>
    <x v="141"/>
    <n v="24"/>
    <n v="27"/>
    <n v="4"/>
    <n v="3"/>
    <d v="2024-04-20T00:00:00"/>
    <m/>
  </r>
  <r>
    <x v="143"/>
    <n v="56"/>
    <s v="Male"/>
    <x v="2"/>
    <s v="Senior Analyst"/>
    <s v="John Carter"/>
    <x v="142"/>
    <n v="14"/>
    <n v="1"/>
    <n v="3"/>
    <n v="6"/>
    <d v="2020-11-09T00:00:00"/>
    <m/>
  </r>
  <r>
    <x v="144"/>
    <n v="23"/>
    <s v="Female"/>
    <x v="4"/>
    <s v="Specialist"/>
    <s v="Sarah Lee"/>
    <x v="143"/>
    <n v="29"/>
    <n v="45"/>
    <m/>
    <n v="10"/>
    <d v="2015-01-14T00:00:00"/>
    <d v="2020-10-11T00:00:00"/>
  </r>
  <r>
    <x v="145"/>
    <n v="26"/>
    <s v="Male"/>
    <x v="1"/>
    <s v="Manager"/>
    <s v="Omar Khalid"/>
    <x v="144"/>
    <n v="22"/>
    <n v="4"/>
    <n v="4"/>
    <n v="8"/>
    <d v="2017-07-05T00:00:00"/>
    <m/>
  </r>
  <r>
    <x v="146"/>
    <n v="27"/>
    <s v="Male"/>
    <x v="0"/>
    <s v="Senior Analyst"/>
    <s v="David Miller"/>
    <x v="145"/>
    <n v="0"/>
    <n v="33"/>
    <n v="4"/>
    <n v="7"/>
    <d v="2019-09-15T00:00:00"/>
    <d v="2018-09-07T00:00:00"/>
  </r>
  <r>
    <x v="147"/>
    <n v="31"/>
    <s v="Female"/>
    <x v="2"/>
    <s v="Analyst"/>
    <s v="Sarah Lee"/>
    <x v="146"/>
    <n v="8"/>
    <n v="2"/>
    <n v="3"/>
    <n v="5"/>
    <d v="2019-12-27T00:00:00"/>
    <m/>
  </r>
  <r>
    <x v="148"/>
    <n v="60"/>
    <s v="Male"/>
    <x v="3"/>
    <s v="Associate"/>
    <s v="David Miller"/>
    <x v="147"/>
    <n v="16"/>
    <n v="17"/>
    <n v="5"/>
    <n v="6"/>
    <d v="2015-10-01T00:00:00"/>
    <m/>
  </r>
  <r>
    <x v="149"/>
    <n v="30"/>
    <s v="Male"/>
    <x v="2"/>
    <s v="Specialist"/>
    <s v="Omar Khalid"/>
    <x v="148"/>
    <n v="7"/>
    <n v="14"/>
    <n v="2"/>
    <n v="9"/>
    <d v="2020-01-09T00:00:00"/>
    <m/>
  </r>
  <r>
    <x v="150"/>
    <n v="34"/>
    <s v="Male"/>
    <x v="0"/>
    <s v="Senior Analyst"/>
    <s v="Ahmad Hassan"/>
    <x v="149"/>
    <n v="9"/>
    <n v="33"/>
    <n v="1"/>
    <n v="1"/>
    <d v="2017-03-23T00:00:00"/>
    <m/>
  </r>
  <r>
    <x v="151"/>
    <n v="27"/>
    <s v="Female"/>
    <x v="1"/>
    <s v="Associate"/>
    <s v="Sarah Lee"/>
    <x v="150"/>
    <n v="26"/>
    <n v="51"/>
    <n v="3"/>
    <n v="4"/>
    <d v="2019-07-03T00:00:00"/>
    <m/>
  </r>
  <r>
    <x v="152"/>
    <n v="35"/>
    <s v="Male"/>
    <x v="3"/>
    <s v="Specialist"/>
    <s v="David Miller"/>
    <x v="151"/>
    <n v="30"/>
    <n v="59"/>
    <n v="5"/>
    <n v="4"/>
    <d v="2022-07-27T00:00:00"/>
    <m/>
  </r>
  <r>
    <x v="153"/>
    <n v="40"/>
    <s v="Female"/>
    <x v="5"/>
    <s v="Specialist"/>
    <s v="Sarah Lee"/>
    <x v="152"/>
    <n v="26"/>
    <n v="11"/>
    <n v="5"/>
    <n v="1"/>
    <d v="2015-12-09T00:00:00"/>
    <d v="2019-06-06T00:00:00"/>
  </r>
  <r>
    <x v="154"/>
    <n v="57"/>
    <s v="Male"/>
    <x v="5"/>
    <s v="Manager"/>
    <s v="John Carter"/>
    <x v="153"/>
    <n v="5"/>
    <n v="11"/>
    <n v="5"/>
    <n v="10"/>
    <d v="2016-06-20T00:00:00"/>
    <m/>
  </r>
  <r>
    <x v="155"/>
    <n v="56"/>
    <s v="Female"/>
    <x v="4"/>
    <s v="Analyst"/>
    <s v="Sarah Lee"/>
    <x v="154"/>
    <n v="3"/>
    <n v="51"/>
    <m/>
    <n v="8"/>
    <d v="2021-03-19T00:00:00"/>
    <m/>
  </r>
  <r>
    <x v="156"/>
    <n v="25"/>
    <s v="Female"/>
    <x v="5"/>
    <s v="Associate"/>
    <s v="Fatima Noor"/>
    <x v="155"/>
    <n v="6"/>
    <n v="58"/>
    <n v="3"/>
    <n v="5"/>
    <d v="2018-06-19T00:00:00"/>
    <m/>
  </r>
  <r>
    <x v="157"/>
    <n v="54"/>
    <s v="Male"/>
    <x v="0"/>
    <s v="Manager"/>
    <s v="David Miller"/>
    <x v="156"/>
    <n v="21"/>
    <n v="60"/>
    <n v="1"/>
    <n v="9"/>
    <d v="2023-09-25T00:00:00"/>
    <d v="2024-12-10T00:00:00"/>
  </r>
  <r>
    <x v="158"/>
    <n v="54"/>
    <s v="Male"/>
    <x v="3"/>
    <s v="Manager"/>
    <s v="Omar Khalid"/>
    <x v="157"/>
    <n v="25"/>
    <n v="52"/>
    <n v="2"/>
    <n v="4"/>
    <d v="2023-07-05T00:00:00"/>
    <m/>
  </r>
  <r>
    <x v="159"/>
    <n v="57"/>
    <s v="Male"/>
    <x v="3"/>
    <s v="Manager"/>
    <s v="John Carter"/>
    <x v="158"/>
    <n v="9"/>
    <n v="32"/>
    <n v="2"/>
    <n v="5"/>
    <d v="2022-04-20T00:00:00"/>
    <m/>
  </r>
  <r>
    <x v="160"/>
    <n v="26"/>
    <s v="Male"/>
    <x v="3"/>
    <s v="Senior Analyst"/>
    <s v="David Miller"/>
    <x v="159"/>
    <n v="9"/>
    <n v="8"/>
    <m/>
    <n v="3"/>
    <d v="2022-06-03T00:00:00"/>
    <d v="2018-02-10T00:00:00"/>
  </r>
  <r>
    <x v="161"/>
    <n v="25"/>
    <s v="Male"/>
    <x v="5"/>
    <s v="Senior Analyst"/>
    <s v="Ahmad Hassan"/>
    <x v="160"/>
    <n v="18"/>
    <n v="45"/>
    <m/>
    <n v="5"/>
    <d v="2024-11-07T00:00:00"/>
    <m/>
  </r>
  <r>
    <x v="162"/>
    <n v="25"/>
    <s v="Male"/>
    <x v="2"/>
    <s v="Specialist"/>
    <s v="David Miller"/>
    <x v="161"/>
    <n v="11"/>
    <n v="36"/>
    <n v="3"/>
    <n v="10"/>
    <d v="2023-06-27T00:00:00"/>
    <d v="2021-07-23T00:00:00"/>
  </r>
  <r>
    <x v="163"/>
    <n v="57"/>
    <s v="Female"/>
    <x v="5"/>
    <s v="Analyst"/>
    <s v="Fatima Noor"/>
    <x v="162"/>
    <n v="9"/>
    <n v="53"/>
    <m/>
    <n v="2"/>
    <d v="2024-12-23T00:00:00"/>
    <m/>
  </r>
  <r>
    <x v="164"/>
    <n v="36"/>
    <s v="Male"/>
    <x v="0"/>
    <s v="Analyst"/>
    <s v="Ahmad Hassan"/>
    <x v="163"/>
    <n v="5"/>
    <n v="10"/>
    <n v="1"/>
    <n v="7"/>
    <d v="2017-09-20T00:00:00"/>
    <m/>
  </r>
  <r>
    <x v="165"/>
    <n v="21"/>
    <s v="Male"/>
    <x v="0"/>
    <s v="Manager"/>
    <s v="Omar Khalid"/>
    <x v="164"/>
    <n v="27"/>
    <n v="30"/>
    <n v="3"/>
    <n v="7"/>
    <d v="2017-12-26T00:00:00"/>
    <d v="2023-02-27T00:00:00"/>
  </r>
  <r>
    <x v="166"/>
    <n v="46"/>
    <s v="Male"/>
    <x v="0"/>
    <s v="Associate"/>
    <s v="Ahmad Hassan"/>
    <x v="165"/>
    <n v="29"/>
    <n v="49"/>
    <n v="1"/>
    <n v="6"/>
    <d v="2023-10-13T00:00:00"/>
    <m/>
  </r>
  <r>
    <x v="167"/>
    <n v="48"/>
    <s v="Female"/>
    <x v="0"/>
    <s v="Manager"/>
    <s v="Emily Brown"/>
    <x v="166"/>
    <n v="21"/>
    <n v="58"/>
    <n v="3"/>
    <n v="8"/>
    <d v="2021-11-28T00:00:00"/>
    <m/>
  </r>
  <r>
    <x v="168"/>
    <n v="45"/>
    <s v="Female"/>
    <x v="2"/>
    <s v="Senior Analyst"/>
    <s v="Fatima Noor"/>
    <x v="167"/>
    <n v="7"/>
    <n v="48"/>
    <n v="4"/>
    <n v="4"/>
    <d v="2019-08-03T00:00:00"/>
    <m/>
  </r>
  <r>
    <x v="169"/>
    <n v="21"/>
    <s v="Female"/>
    <x v="2"/>
    <s v="Senior Analyst"/>
    <s v="Emily Brown"/>
    <x v="168"/>
    <n v="3"/>
    <n v="49"/>
    <n v="2"/>
    <n v="3"/>
    <d v="2020-05-17T00:00:00"/>
    <m/>
  </r>
  <r>
    <x v="170"/>
    <n v="27"/>
    <s v="Male"/>
    <x v="5"/>
    <s v="Manager"/>
    <s v="Ahmad Hassan"/>
    <x v="169"/>
    <n v="20"/>
    <n v="3"/>
    <n v="1"/>
    <n v="3"/>
    <d v="2019-02-18T00:00:00"/>
    <d v="2021-05-19T00:00:00"/>
  </r>
  <r>
    <x v="171"/>
    <n v="60"/>
    <s v="Male"/>
    <x v="2"/>
    <s v="Associate"/>
    <s v="Omar Khalid"/>
    <x v="170"/>
    <n v="13"/>
    <n v="29"/>
    <n v="3"/>
    <n v="8"/>
    <d v="2021-07-17T00:00:00"/>
    <d v="2020-08-27T00:00:00"/>
  </r>
  <r>
    <x v="172"/>
    <n v="39"/>
    <s v="Male"/>
    <x v="1"/>
    <s v="Associate"/>
    <s v="David Miller"/>
    <x v="171"/>
    <n v="23"/>
    <n v="26"/>
    <n v="1"/>
    <n v="6"/>
    <d v="2019-11-14T00:00:00"/>
    <d v="2017-02-09T00:00:00"/>
  </r>
  <r>
    <x v="173"/>
    <n v="41"/>
    <s v="Male"/>
    <x v="2"/>
    <s v="Specialist"/>
    <s v="Ahmad Hassan"/>
    <x v="172"/>
    <n v="3"/>
    <n v="28"/>
    <n v="3"/>
    <n v="8"/>
    <d v="2018-05-07T00:00:00"/>
    <m/>
  </r>
  <r>
    <x v="174"/>
    <n v="58"/>
    <s v="Male"/>
    <x v="4"/>
    <s v="Associate"/>
    <s v="Omar Khalid"/>
    <x v="173"/>
    <n v="16"/>
    <n v="4"/>
    <n v="5"/>
    <n v="1"/>
    <d v="2015-11-19T00:00:00"/>
    <m/>
  </r>
  <r>
    <x v="175"/>
    <n v="34"/>
    <s v="Female"/>
    <x v="5"/>
    <s v="Associate"/>
    <s v="Emily Brown"/>
    <x v="174"/>
    <n v="15"/>
    <n v="59"/>
    <n v="5"/>
    <n v="7"/>
    <d v="2023-04-01T00:00:00"/>
    <m/>
  </r>
  <r>
    <x v="176"/>
    <n v="57"/>
    <s v="Male"/>
    <x v="3"/>
    <s v="Analyst"/>
    <s v="Omar Khalid"/>
    <x v="175"/>
    <n v="25"/>
    <n v="2"/>
    <n v="4"/>
    <n v="10"/>
    <d v="2016-06-25T00:00:00"/>
    <d v="2017-01-16T00:00:00"/>
  </r>
  <r>
    <x v="177"/>
    <n v="30"/>
    <s v="Female"/>
    <x v="5"/>
    <s v="Analyst"/>
    <s v="Sarah Lee"/>
    <x v="176"/>
    <n v="15"/>
    <n v="39"/>
    <n v="2"/>
    <n v="6"/>
    <d v="2021-09-10T00:00:00"/>
    <m/>
  </r>
  <r>
    <x v="178"/>
    <n v="22"/>
    <s v="Male"/>
    <x v="0"/>
    <s v="Manager"/>
    <s v="John Carter"/>
    <x v="177"/>
    <n v="30"/>
    <n v="32"/>
    <m/>
    <n v="3"/>
    <d v="2020-01-12T00:00:00"/>
    <d v="2022-05-05T00:00:00"/>
  </r>
  <r>
    <x v="179"/>
    <n v="49"/>
    <s v="Female"/>
    <x v="4"/>
    <s v="Senior Analyst"/>
    <s v="Fatima Noor"/>
    <x v="178"/>
    <n v="10"/>
    <n v="23"/>
    <m/>
    <n v="5"/>
    <d v="2022-10-27T00:00:00"/>
    <d v="2022-08-27T00:00:00"/>
  </r>
  <r>
    <x v="180"/>
    <n v="31"/>
    <s v="Female"/>
    <x v="0"/>
    <s v="Associate"/>
    <s v="Fatima Noor"/>
    <x v="179"/>
    <n v="9"/>
    <n v="15"/>
    <n v="1"/>
    <n v="10"/>
    <d v="2017-04-19T00:00:00"/>
    <m/>
  </r>
  <r>
    <x v="181"/>
    <n v="50"/>
    <s v="Male"/>
    <x v="1"/>
    <s v="Manager"/>
    <s v="John Carter"/>
    <x v="180"/>
    <n v="28"/>
    <n v="60"/>
    <n v="1"/>
    <n v="8"/>
    <d v="2018-12-21T00:00:00"/>
    <d v="2019-05-10T00:00:00"/>
  </r>
  <r>
    <x v="182"/>
    <n v="58"/>
    <s v="Female"/>
    <x v="2"/>
    <s v="Specialist"/>
    <s v="Sarah Lee"/>
    <x v="181"/>
    <n v="21"/>
    <n v="7"/>
    <n v="4"/>
    <n v="3"/>
    <d v="2022-07-18T00:00:00"/>
    <m/>
  </r>
  <r>
    <x v="183"/>
    <n v="35"/>
    <s v="Female"/>
    <x v="3"/>
    <s v="Specialist"/>
    <s v="Emily Brown"/>
    <x v="182"/>
    <n v="15"/>
    <n v="43"/>
    <n v="5"/>
    <n v="8"/>
    <d v="2022-02-02T00:00:00"/>
    <m/>
  </r>
  <r>
    <x v="184"/>
    <n v="38"/>
    <s v="Female"/>
    <x v="2"/>
    <s v="Specialist"/>
    <s v="Emily Brown"/>
    <x v="183"/>
    <n v="18"/>
    <n v="27"/>
    <n v="2"/>
    <n v="9"/>
    <d v="2019-03-26T00:00:00"/>
    <m/>
  </r>
  <r>
    <x v="185"/>
    <n v="44"/>
    <s v="Male"/>
    <x v="1"/>
    <s v="Manager"/>
    <s v="John Carter"/>
    <x v="184"/>
    <n v="22"/>
    <n v="12"/>
    <n v="2"/>
    <n v="10"/>
    <d v="2018-03-17T00:00:00"/>
    <m/>
  </r>
  <r>
    <x v="186"/>
    <n v="27"/>
    <s v="Male"/>
    <x v="2"/>
    <s v="Specialist"/>
    <s v="Omar Khalid"/>
    <x v="185"/>
    <n v="22"/>
    <n v="46"/>
    <m/>
    <n v="9"/>
    <d v="2020-07-11T00:00:00"/>
    <m/>
  </r>
  <r>
    <x v="187"/>
    <n v="28"/>
    <s v="Female"/>
    <x v="5"/>
    <s v="Senior Analyst"/>
    <s v="Fatima Noor"/>
    <x v="186"/>
    <n v="29"/>
    <n v="27"/>
    <n v="5"/>
    <n v="3"/>
    <d v="2021-04-20T00:00:00"/>
    <d v="2019-01-08T00:00:00"/>
  </r>
  <r>
    <x v="188"/>
    <n v="55"/>
    <s v="Male"/>
    <x v="5"/>
    <s v="Specialist"/>
    <s v="Omar Khalid"/>
    <x v="187"/>
    <n v="27"/>
    <n v="14"/>
    <n v="5"/>
    <n v="1"/>
    <d v="2020-06-17T00:00:00"/>
    <d v="2024-01-12T00:00:00"/>
  </r>
  <r>
    <x v="189"/>
    <n v="57"/>
    <s v="Male"/>
    <x v="3"/>
    <s v="Manager"/>
    <s v="John Carter"/>
    <x v="188"/>
    <n v="7"/>
    <n v="45"/>
    <n v="4"/>
    <n v="1"/>
    <d v="2024-03-07T00:00:00"/>
    <m/>
  </r>
  <r>
    <x v="190"/>
    <n v="41"/>
    <s v="Male"/>
    <x v="0"/>
    <s v="Analyst"/>
    <s v="Ahmad Hassan"/>
    <x v="189"/>
    <n v="29"/>
    <n v="22"/>
    <n v="3"/>
    <n v="9"/>
    <d v="2020-01-19T00:00:00"/>
    <m/>
  </r>
  <r>
    <x v="191"/>
    <n v="23"/>
    <s v="Male"/>
    <x v="0"/>
    <s v="Analyst"/>
    <s v="Ahmad Hassan"/>
    <x v="190"/>
    <n v="10"/>
    <n v="50"/>
    <n v="4"/>
    <n v="4"/>
    <d v="2020-11-06T00:00:00"/>
    <m/>
  </r>
  <r>
    <x v="192"/>
    <n v="44"/>
    <s v="Male"/>
    <x v="4"/>
    <s v="Specialist"/>
    <s v="Omar Khalid"/>
    <x v="191"/>
    <n v="30"/>
    <n v="4"/>
    <n v="4"/>
    <n v="8"/>
    <d v="2019-07-10T00:00:00"/>
    <m/>
  </r>
  <r>
    <x v="193"/>
    <n v="44"/>
    <s v="Male"/>
    <x v="5"/>
    <s v="Specialist"/>
    <s v="John Carter"/>
    <x v="192"/>
    <n v="2"/>
    <n v="37"/>
    <n v="2"/>
    <n v="5"/>
    <d v="2019-10-12T00:00:00"/>
    <m/>
  </r>
  <r>
    <x v="194"/>
    <n v="47"/>
    <s v="Female"/>
    <x v="2"/>
    <s v="Senior Analyst"/>
    <s v="Sarah Lee"/>
    <x v="193"/>
    <n v="30"/>
    <n v="12"/>
    <n v="3"/>
    <n v="3"/>
    <d v="2022-07-25T00:00:00"/>
    <m/>
  </r>
  <r>
    <x v="195"/>
    <n v="52"/>
    <s v="Female"/>
    <x v="2"/>
    <s v="Associate"/>
    <s v="Sarah Lee"/>
    <x v="194"/>
    <n v="3"/>
    <n v="10"/>
    <n v="1"/>
    <n v="8"/>
    <d v="2020-07-02T00:00:00"/>
    <m/>
  </r>
  <r>
    <x v="196"/>
    <n v="43"/>
    <s v="Female"/>
    <x v="0"/>
    <s v="Associate"/>
    <s v="Sarah Lee"/>
    <x v="195"/>
    <n v="2"/>
    <n v="53"/>
    <n v="4"/>
    <n v="9"/>
    <d v="2024-06-12T00:00:00"/>
    <m/>
  </r>
  <r>
    <x v="197"/>
    <n v="49"/>
    <s v="Male"/>
    <x v="4"/>
    <s v="Senior Analyst"/>
    <s v="Ahmad Hassan"/>
    <x v="196"/>
    <n v="1"/>
    <n v="11"/>
    <n v="3"/>
    <n v="2"/>
    <d v="2015-10-18T00:00:00"/>
    <m/>
  </r>
  <r>
    <x v="198"/>
    <n v="41"/>
    <s v="Male"/>
    <x v="0"/>
    <s v="Analyst"/>
    <s v="John Carter"/>
    <x v="197"/>
    <n v="18"/>
    <n v="50"/>
    <n v="1"/>
    <n v="5"/>
    <d v="2021-07-08T00:00:00"/>
    <m/>
  </r>
  <r>
    <x v="199"/>
    <n v="35"/>
    <s v="Female"/>
    <x v="4"/>
    <s v="Senior Analyst"/>
    <s v="Sarah Lee"/>
    <x v="198"/>
    <n v="17"/>
    <n v="53"/>
    <m/>
    <n v="6"/>
    <d v="2015-03-01T00:00:00"/>
    <d v="2022-07-11T00:00:00"/>
  </r>
  <r>
    <x v="200"/>
    <n v="36"/>
    <s v="Male"/>
    <x v="4"/>
    <s v="Senior Analyst"/>
    <s v="Omar Khalid"/>
    <x v="199"/>
    <n v="13"/>
    <n v="10"/>
    <n v="4"/>
    <n v="6"/>
    <d v="2018-11-12T00:00:00"/>
    <m/>
  </r>
  <r>
    <x v="201"/>
    <n v="47"/>
    <s v="Male"/>
    <x v="5"/>
    <s v="Senior Analyst"/>
    <s v="Ahmad Hassan"/>
    <x v="200"/>
    <n v="29"/>
    <n v="19"/>
    <n v="5"/>
    <n v="7"/>
    <d v="2022-07-18T00:00:00"/>
    <m/>
  </r>
  <r>
    <x v="202"/>
    <n v="54"/>
    <s v="Female"/>
    <x v="4"/>
    <s v="Senior Analyst"/>
    <s v="Fatima Noor"/>
    <x v="201"/>
    <n v="22"/>
    <n v="36"/>
    <n v="3"/>
    <n v="10"/>
    <d v="2020-01-23T00:00:00"/>
    <m/>
  </r>
  <r>
    <x v="203"/>
    <n v="27"/>
    <s v="Female"/>
    <x v="4"/>
    <s v="Associate"/>
    <s v="Fatima Noor"/>
    <x v="202"/>
    <n v="10"/>
    <n v="22"/>
    <n v="4"/>
    <n v="2"/>
    <d v="2016-03-22T00:00:00"/>
    <m/>
  </r>
  <r>
    <x v="204"/>
    <n v="38"/>
    <s v="Female"/>
    <x v="5"/>
    <s v="Associate"/>
    <s v="Fatima Noor"/>
    <x v="203"/>
    <n v="0"/>
    <n v="10"/>
    <n v="3"/>
    <n v="7"/>
    <d v="2021-02-14T00:00:00"/>
    <m/>
  </r>
  <r>
    <x v="205"/>
    <n v="50"/>
    <s v="Male"/>
    <x v="0"/>
    <s v="Specialist"/>
    <s v="Omar Khalid"/>
    <x v="204"/>
    <n v="12"/>
    <n v="8"/>
    <m/>
    <n v="8"/>
    <d v="2020-02-20T00:00:00"/>
    <m/>
  </r>
  <r>
    <x v="206"/>
    <n v="40"/>
    <s v="Female"/>
    <x v="5"/>
    <s v="Manager"/>
    <s v="Sarah Lee"/>
    <x v="205"/>
    <n v="0"/>
    <n v="9"/>
    <n v="5"/>
    <n v="3"/>
    <d v="2023-08-10T00:00:00"/>
    <m/>
  </r>
  <r>
    <x v="207"/>
    <n v="28"/>
    <s v="Female"/>
    <x v="4"/>
    <s v="Senior Analyst"/>
    <s v="Sarah Lee"/>
    <x v="206"/>
    <n v="19"/>
    <n v="32"/>
    <n v="2"/>
    <n v="4"/>
    <d v="2023-08-18T00:00:00"/>
    <m/>
  </r>
  <r>
    <x v="208"/>
    <n v="59"/>
    <s v="Male"/>
    <x v="3"/>
    <s v="Senior Analyst"/>
    <s v="John Carter"/>
    <x v="207"/>
    <n v="21"/>
    <n v="15"/>
    <n v="3"/>
    <n v="9"/>
    <d v="2021-12-14T00:00:00"/>
    <d v="2024-12-22T00:00:00"/>
  </r>
  <r>
    <x v="209"/>
    <n v="55"/>
    <s v="Male"/>
    <x v="2"/>
    <s v="Associate"/>
    <s v="Omar Khalid"/>
    <x v="208"/>
    <n v="26"/>
    <n v="4"/>
    <n v="5"/>
    <n v="9"/>
    <d v="2020-03-11T00:00:00"/>
    <m/>
  </r>
  <r>
    <x v="210"/>
    <n v="52"/>
    <s v="Female"/>
    <x v="1"/>
    <s v="Associate"/>
    <s v="Fatima Noor"/>
    <x v="209"/>
    <n v="24"/>
    <n v="14"/>
    <n v="1"/>
    <n v="8"/>
    <d v="2018-12-24T00:00:00"/>
    <m/>
  </r>
  <r>
    <x v="211"/>
    <n v="53"/>
    <s v="Male"/>
    <x v="5"/>
    <s v="Senior Analyst"/>
    <s v="John Carter"/>
    <x v="210"/>
    <n v="12"/>
    <n v="31"/>
    <n v="4"/>
    <n v="7"/>
    <d v="2019-06-07T00:00:00"/>
    <m/>
  </r>
  <r>
    <x v="212"/>
    <n v="57"/>
    <s v="Male"/>
    <x v="0"/>
    <s v="Senior Analyst"/>
    <s v="John Carter"/>
    <x v="211"/>
    <n v="22"/>
    <n v="27"/>
    <n v="3"/>
    <n v="5"/>
    <d v="2024-04-09T00:00:00"/>
    <m/>
  </r>
  <r>
    <x v="213"/>
    <n v="26"/>
    <s v="Female"/>
    <x v="5"/>
    <s v="Associate"/>
    <s v="Sarah Lee"/>
    <x v="212"/>
    <n v="9"/>
    <n v="55"/>
    <m/>
    <n v="5"/>
    <d v="2017-07-14T00:00:00"/>
    <m/>
  </r>
  <r>
    <x v="214"/>
    <n v="46"/>
    <s v="Male"/>
    <x v="5"/>
    <s v="Specialist"/>
    <s v="John Carter"/>
    <x v="213"/>
    <n v="26"/>
    <n v="14"/>
    <n v="4"/>
    <n v="8"/>
    <d v="2018-08-20T00:00:00"/>
    <m/>
  </r>
  <r>
    <x v="215"/>
    <n v="33"/>
    <s v="Female"/>
    <x v="4"/>
    <s v="Associate"/>
    <s v="Sarah Lee"/>
    <x v="214"/>
    <n v="3"/>
    <n v="20"/>
    <n v="3"/>
    <n v="4"/>
    <d v="2015-12-26T00:00:00"/>
    <m/>
  </r>
  <r>
    <x v="216"/>
    <n v="46"/>
    <s v="Female"/>
    <x v="4"/>
    <s v="Associate"/>
    <s v="Fatima Noor"/>
    <x v="215"/>
    <n v="24"/>
    <n v="11"/>
    <m/>
    <n v="8"/>
    <d v="2020-06-27T00:00:00"/>
    <d v="2017-09-24T00:00:00"/>
  </r>
  <r>
    <x v="217"/>
    <n v="53"/>
    <s v="Male"/>
    <x v="2"/>
    <s v="Senior Analyst"/>
    <s v="John Carter"/>
    <x v="216"/>
    <n v="22"/>
    <n v="55"/>
    <n v="1"/>
    <n v="9"/>
    <d v="2018-12-12T00:00:00"/>
    <m/>
  </r>
  <r>
    <x v="218"/>
    <n v="59"/>
    <s v="Male"/>
    <x v="5"/>
    <s v="Manager"/>
    <s v="Ahmad Hassan"/>
    <x v="217"/>
    <n v="0"/>
    <n v="19"/>
    <n v="5"/>
    <n v="9"/>
    <d v="2023-09-16T00:00:00"/>
    <m/>
  </r>
  <r>
    <x v="219"/>
    <n v="30"/>
    <s v="Female"/>
    <x v="5"/>
    <s v="Senior Analyst"/>
    <s v="Fatima Noor"/>
    <x v="218"/>
    <n v="17"/>
    <n v="56"/>
    <n v="2"/>
    <n v="3"/>
    <d v="2022-04-09T00:00:00"/>
    <m/>
  </r>
  <r>
    <x v="220"/>
    <n v="29"/>
    <s v="Male"/>
    <x v="4"/>
    <s v="Analyst"/>
    <s v="Ahmad Hassan"/>
    <x v="219"/>
    <n v="11"/>
    <n v="56"/>
    <n v="5"/>
    <n v="1"/>
    <d v="2021-03-20T00:00:00"/>
    <m/>
  </r>
  <r>
    <x v="221"/>
    <n v="26"/>
    <s v="Female"/>
    <x v="4"/>
    <s v="Manager"/>
    <s v="Fatima Noor"/>
    <x v="220"/>
    <n v="24"/>
    <n v="54"/>
    <n v="3"/>
    <n v="9"/>
    <d v="2017-10-05T00:00:00"/>
    <m/>
  </r>
  <r>
    <x v="222"/>
    <n v="34"/>
    <s v="Female"/>
    <x v="2"/>
    <s v="Senior Analyst"/>
    <s v="Fatima Noor"/>
    <x v="221"/>
    <n v="5"/>
    <n v="49"/>
    <n v="4"/>
    <n v="5"/>
    <d v="2020-08-27T00:00:00"/>
    <m/>
  </r>
  <r>
    <x v="223"/>
    <n v="54"/>
    <s v="Female"/>
    <x v="3"/>
    <s v="Specialist"/>
    <s v="Sarah Lee"/>
    <x v="222"/>
    <n v="15"/>
    <n v="19"/>
    <m/>
    <n v="2"/>
    <d v="2018-04-25T00:00:00"/>
    <m/>
  </r>
  <r>
    <x v="224"/>
    <n v="56"/>
    <s v="Male"/>
    <x v="0"/>
    <s v="Associate"/>
    <s v="John Carter"/>
    <x v="223"/>
    <n v="28"/>
    <n v="58"/>
    <n v="1"/>
    <n v="10"/>
    <d v="2023-09-12T00:00:00"/>
    <d v="2024-08-18T00:00:00"/>
  </r>
  <r>
    <x v="225"/>
    <n v="46"/>
    <s v="Male"/>
    <x v="4"/>
    <s v="Manager"/>
    <s v="David Miller"/>
    <x v="224"/>
    <n v="22"/>
    <n v="53"/>
    <m/>
    <n v="5"/>
    <d v="2019-07-09T00:00:00"/>
    <d v="2021-01-27T00:00:00"/>
  </r>
  <r>
    <x v="226"/>
    <n v="54"/>
    <s v="Female"/>
    <x v="0"/>
    <s v="Associate"/>
    <s v="Emily Brown"/>
    <x v="225"/>
    <n v="0"/>
    <n v="29"/>
    <n v="4"/>
    <n v="7"/>
    <d v="2017-04-04T00:00:00"/>
    <m/>
  </r>
  <r>
    <x v="227"/>
    <n v="52"/>
    <s v="Male"/>
    <x v="2"/>
    <s v="Specialist"/>
    <s v="John Carter"/>
    <x v="226"/>
    <n v="22"/>
    <n v="45"/>
    <n v="1"/>
    <n v="2"/>
    <d v="2016-02-18T00:00:00"/>
    <m/>
  </r>
  <r>
    <x v="228"/>
    <n v="22"/>
    <s v="Female"/>
    <x v="0"/>
    <s v="Specialist"/>
    <s v="Sarah Lee"/>
    <x v="227"/>
    <n v="26"/>
    <n v="6"/>
    <m/>
    <n v="7"/>
    <d v="2017-10-26T00:00:00"/>
    <d v="2018-04-21T00:00:00"/>
  </r>
  <r>
    <x v="229"/>
    <n v="38"/>
    <s v="Female"/>
    <x v="3"/>
    <s v="Manager"/>
    <s v="Emily Brown"/>
    <x v="228"/>
    <n v="28"/>
    <n v="46"/>
    <n v="5"/>
    <n v="1"/>
    <d v="2022-06-16T00:00:00"/>
    <m/>
  </r>
  <r>
    <x v="230"/>
    <n v="24"/>
    <s v="Male"/>
    <x v="2"/>
    <s v="Analyst"/>
    <s v="John Carter"/>
    <x v="229"/>
    <n v="14"/>
    <n v="8"/>
    <n v="5"/>
    <n v="7"/>
    <d v="2024-01-22T00:00:00"/>
    <d v="2023-11-26T00:00:00"/>
  </r>
  <r>
    <x v="231"/>
    <n v="21"/>
    <s v="Male"/>
    <x v="5"/>
    <s v="Specialist"/>
    <s v="Omar Khalid"/>
    <x v="230"/>
    <n v="1"/>
    <n v="28"/>
    <m/>
    <n v="2"/>
    <d v="2022-11-28T00:00:00"/>
    <d v="2020-01-01T00:00:00"/>
  </r>
  <r>
    <x v="232"/>
    <n v="25"/>
    <s v="Female"/>
    <x v="3"/>
    <s v="Specialist"/>
    <s v="Fatima Noor"/>
    <x v="231"/>
    <n v="25"/>
    <n v="38"/>
    <n v="3"/>
    <n v="10"/>
    <d v="2017-11-07T00:00:00"/>
    <d v="2023-05-23T00:00:00"/>
  </r>
  <r>
    <x v="233"/>
    <n v="46"/>
    <s v="Male"/>
    <x v="0"/>
    <s v="Specialist"/>
    <s v="David Miller"/>
    <x v="232"/>
    <n v="6"/>
    <n v="26"/>
    <n v="4"/>
    <n v="4"/>
    <d v="2024-09-14T00:00:00"/>
    <m/>
  </r>
  <r>
    <x v="234"/>
    <n v="51"/>
    <s v="Female"/>
    <x v="5"/>
    <s v="Manager"/>
    <s v="Emily Brown"/>
    <x v="233"/>
    <n v="23"/>
    <n v="50"/>
    <n v="4"/>
    <n v="2"/>
    <d v="2023-07-22T00:00:00"/>
    <m/>
  </r>
  <r>
    <x v="235"/>
    <n v="39"/>
    <s v="Female"/>
    <x v="4"/>
    <s v="Specialist"/>
    <s v="Sarah Lee"/>
    <x v="234"/>
    <n v="3"/>
    <n v="38"/>
    <n v="3"/>
    <n v="4"/>
    <d v="2019-10-17T00:00:00"/>
    <m/>
  </r>
  <r>
    <x v="236"/>
    <n v="44"/>
    <s v="Male"/>
    <x v="0"/>
    <s v="Analyst"/>
    <s v="Ahmad Hassan"/>
    <x v="235"/>
    <n v="29"/>
    <n v="32"/>
    <n v="2"/>
    <n v="10"/>
    <d v="2024-01-22T00:00:00"/>
    <d v="2016-06-22T00:00:00"/>
  </r>
  <r>
    <x v="237"/>
    <n v="38"/>
    <s v="Male"/>
    <x v="1"/>
    <s v="Manager"/>
    <s v="John Carter"/>
    <x v="236"/>
    <n v="29"/>
    <n v="53"/>
    <n v="3"/>
    <n v="9"/>
    <d v="2016-12-07T00:00:00"/>
    <d v="2019-10-20T00:00:00"/>
  </r>
  <r>
    <x v="238"/>
    <n v="56"/>
    <s v="Male"/>
    <x v="2"/>
    <s v="Associate"/>
    <s v="Omar Khalid"/>
    <x v="237"/>
    <n v="22"/>
    <n v="46"/>
    <n v="3"/>
    <n v="8"/>
    <d v="2022-10-03T00:00:00"/>
    <m/>
  </r>
  <r>
    <x v="239"/>
    <n v="50"/>
    <s v="Male"/>
    <x v="5"/>
    <s v="Senior Analyst"/>
    <s v="John Carter"/>
    <x v="238"/>
    <n v="7"/>
    <n v="59"/>
    <n v="3"/>
    <n v="8"/>
    <d v="2019-05-15T00:00:00"/>
    <m/>
  </r>
  <r>
    <x v="240"/>
    <n v="27"/>
    <s v="Female"/>
    <x v="0"/>
    <s v="Senior Analyst"/>
    <s v="Fatima Noor"/>
    <x v="239"/>
    <n v="10"/>
    <n v="48"/>
    <n v="1"/>
    <n v="7"/>
    <d v="2016-11-19T00:00:00"/>
    <d v="2018-09-20T00:00:00"/>
  </r>
  <r>
    <x v="241"/>
    <n v="40"/>
    <s v="Female"/>
    <x v="4"/>
    <s v="Specialist"/>
    <s v="Sarah Lee"/>
    <x v="240"/>
    <n v="2"/>
    <n v="58"/>
    <n v="4"/>
    <n v="2"/>
    <d v="2021-10-20T00:00:00"/>
    <m/>
  </r>
  <r>
    <x v="242"/>
    <n v="55"/>
    <s v="Male"/>
    <x v="0"/>
    <s v="Analyst"/>
    <s v="Omar Khalid"/>
    <x v="241"/>
    <n v="23"/>
    <n v="51"/>
    <m/>
    <n v="4"/>
    <d v="2021-06-12T00:00:00"/>
    <d v="2019-06-11T00:00:00"/>
  </r>
  <r>
    <x v="243"/>
    <n v="24"/>
    <s v="Male"/>
    <x v="3"/>
    <s v="Senior Analyst"/>
    <s v="Omar Khalid"/>
    <x v="242"/>
    <n v="2"/>
    <n v="2"/>
    <n v="2"/>
    <n v="9"/>
    <d v="2019-03-19T00:00:00"/>
    <d v="2016-12-10T00:00:00"/>
  </r>
  <r>
    <x v="244"/>
    <n v="28"/>
    <s v="Female"/>
    <x v="0"/>
    <s v="Analyst"/>
    <s v="Emily Brown"/>
    <x v="243"/>
    <n v="10"/>
    <n v="56"/>
    <n v="4"/>
    <n v="3"/>
    <d v="2023-12-10T00:00:00"/>
    <m/>
  </r>
  <r>
    <x v="245"/>
    <n v="28"/>
    <s v="Female"/>
    <x v="0"/>
    <s v="Analyst"/>
    <s v="Fatima Noor"/>
    <x v="244"/>
    <n v="24"/>
    <n v="4"/>
    <n v="4"/>
    <n v="7"/>
    <d v="2015-02-26T00:00:00"/>
    <m/>
  </r>
  <r>
    <x v="246"/>
    <n v="36"/>
    <s v="Female"/>
    <x v="0"/>
    <s v="Analyst"/>
    <s v="Emily Brown"/>
    <x v="245"/>
    <n v="14"/>
    <n v="55"/>
    <n v="4"/>
    <n v="8"/>
    <d v="2018-04-05T00:00:00"/>
    <m/>
  </r>
  <r>
    <x v="247"/>
    <n v="36"/>
    <s v="Male"/>
    <x v="0"/>
    <s v="Associate"/>
    <s v="Omar Khalid"/>
    <x v="246"/>
    <n v="20"/>
    <n v="40"/>
    <n v="3"/>
    <n v="2"/>
    <d v="2015-07-22T00:00:00"/>
    <d v="2018-11-03T00:00:00"/>
  </r>
  <r>
    <x v="248"/>
    <n v="44"/>
    <s v="Male"/>
    <x v="0"/>
    <s v="Associate"/>
    <s v="John Carter"/>
    <x v="247"/>
    <n v="10"/>
    <n v="54"/>
    <n v="5"/>
    <n v="7"/>
    <d v="2022-12-26T00:00:00"/>
    <d v="2017-08-10T00:00:00"/>
  </r>
  <r>
    <x v="249"/>
    <n v="52"/>
    <s v="Male"/>
    <x v="0"/>
    <s v="Specialist"/>
    <s v="David Miller"/>
    <x v="248"/>
    <n v="18"/>
    <n v="52"/>
    <n v="4"/>
    <n v="4"/>
    <d v="2018-03-19T00:00:00"/>
    <m/>
  </r>
  <r>
    <x v="250"/>
    <n v="39"/>
    <s v="Male"/>
    <x v="5"/>
    <s v="Associate"/>
    <s v="Omar Khalid"/>
    <x v="249"/>
    <n v="11"/>
    <n v="23"/>
    <m/>
    <n v="1"/>
    <d v="2020-08-23T00:00:00"/>
    <m/>
  </r>
  <r>
    <x v="251"/>
    <n v="34"/>
    <s v="Female"/>
    <x v="4"/>
    <s v="Associate"/>
    <s v="Fatima Noor"/>
    <x v="250"/>
    <n v="13"/>
    <n v="36"/>
    <n v="5"/>
    <n v="7"/>
    <d v="2023-06-14T00:00:00"/>
    <d v="2016-06-03T00:00:00"/>
  </r>
  <r>
    <x v="252"/>
    <n v="51"/>
    <s v="Female"/>
    <x v="4"/>
    <s v="Senior Analyst"/>
    <s v="Sarah Lee"/>
    <x v="251"/>
    <n v="30"/>
    <n v="8"/>
    <m/>
    <n v="8"/>
    <d v="2022-11-09T00:00:00"/>
    <m/>
  </r>
  <r>
    <x v="253"/>
    <n v="21"/>
    <s v="Female"/>
    <x v="2"/>
    <s v="Manager"/>
    <s v="Emily Brown"/>
    <x v="252"/>
    <n v="23"/>
    <n v="46"/>
    <m/>
    <n v="7"/>
    <d v="2015-09-11T00:00:00"/>
    <d v="2023-11-12T00:00:00"/>
  </r>
  <r>
    <x v="254"/>
    <n v="32"/>
    <s v="Female"/>
    <x v="3"/>
    <s v="Manager"/>
    <s v="Emily Brown"/>
    <x v="253"/>
    <n v="10"/>
    <n v="44"/>
    <n v="4"/>
    <n v="4"/>
    <d v="2018-03-01T00:00:00"/>
    <m/>
  </r>
  <r>
    <x v="255"/>
    <n v="56"/>
    <s v="Female"/>
    <x v="5"/>
    <s v="Manager"/>
    <s v="Fatima Noor"/>
    <x v="254"/>
    <n v="23"/>
    <n v="8"/>
    <n v="3"/>
    <n v="8"/>
    <d v="2024-12-25T00:00:00"/>
    <d v="2023-07-28T00:00:00"/>
  </r>
  <r>
    <x v="256"/>
    <n v="46"/>
    <s v="Male"/>
    <x v="4"/>
    <s v="Specialist"/>
    <s v="John Carter"/>
    <x v="255"/>
    <n v="20"/>
    <n v="27"/>
    <n v="1"/>
    <n v="2"/>
    <d v="2020-06-08T00:00:00"/>
    <d v="2018-04-21T00:00:00"/>
  </r>
  <r>
    <x v="257"/>
    <n v="41"/>
    <s v="Female"/>
    <x v="2"/>
    <s v="Associate"/>
    <s v="Fatima Noor"/>
    <x v="256"/>
    <n v="18"/>
    <n v="40"/>
    <n v="3"/>
    <n v="3"/>
    <d v="2022-07-03T00:00:00"/>
    <m/>
  </r>
  <r>
    <x v="258"/>
    <n v="27"/>
    <s v="Female"/>
    <x v="0"/>
    <s v="Manager"/>
    <s v="Fatima Noor"/>
    <x v="257"/>
    <n v="26"/>
    <n v="11"/>
    <n v="1"/>
    <n v="10"/>
    <d v="2017-02-21T00:00:00"/>
    <m/>
  </r>
  <r>
    <x v="259"/>
    <n v="59"/>
    <s v="Female"/>
    <x v="5"/>
    <s v="Analyst"/>
    <s v="Emily Brown"/>
    <x v="258"/>
    <n v="17"/>
    <n v="31"/>
    <n v="3"/>
    <n v="10"/>
    <d v="2021-12-12T00:00:00"/>
    <d v="2023-03-09T00:00:00"/>
  </r>
  <r>
    <x v="260"/>
    <n v="34"/>
    <s v="Female"/>
    <x v="0"/>
    <s v="Specialist"/>
    <s v="Sarah Lee"/>
    <x v="259"/>
    <n v="19"/>
    <n v="2"/>
    <n v="5"/>
    <n v="7"/>
    <d v="2018-03-15T00:00:00"/>
    <m/>
  </r>
  <r>
    <x v="261"/>
    <n v="21"/>
    <s v="Male"/>
    <x v="5"/>
    <s v="Senior Analyst"/>
    <s v="John Carter"/>
    <x v="260"/>
    <n v="26"/>
    <n v="4"/>
    <n v="1"/>
    <n v="7"/>
    <d v="2021-11-01T00:00:00"/>
    <m/>
  </r>
  <r>
    <x v="262"/>
    <n v="54"/>
    <s v="Female"/>
    <x v="0"/>
    <s v="Manager"/>
    <s v="Sarah Lee"/>
    <x v="261"/>
    <n v="23"/>
    <n v="53"/>
    <n v="2"/>
    <n v="6"/>
    <d v="2017-12-20T00:00:00"/>
    <m/>
  </r>
  <r>
    <x v="263"/>
    <n v="57"/>
    <s v="Female"/>
    <x v="2"/>
    <s v="Manager"/>
    <s v="Fatima Noor"/>
    <x v="262"/>
    <n v="20"/>
    <n v="48"/>
    <n v="2"/>
    <n v="1"/>
    <d v="2021-06-17T00:00:00"/>
    <d v="2018-11-12T00:00:00"/>
  </r>
  <r>
    <x v="264"/>
    <n v="53"/>
    <s v="Female"/>
    <x v="4"/>
    <s v="Manager"/>
    <s v="Sarah Lee"/>
    <x v="263"/>
    <n v="5"/>
    <n v="42"/>
    <n v="5"/>
    <n v="2"/>
    <d v="2017-11-15T00:00:00"/>
    <m/>
  </r>
  <r>
    <x v="265"/>
    <n v="46"/>
    <s v="Male"/>
    <x v="4"/>
    <s v="Associate"/>
    <s v="Ahmad Hassan"/>
    <x v="264"/>
    <n v="26"/>
    <n v="5"/>
    <n v="1"/>
    <n v="10"/>
    <d v="2023-08-18T00:00:00"/>
    <m/>
  </r>
  <r>
    <x v="266"/>
    <n v="25"/>
    <s v="Male"/>
    <x v="0"/>
    <s v="Analyst"/>
    <s v="David Miller"/>
    <x v="265"/>
    <n v="17"/>
    <n v="34"/>
    <n v="3"/>
    <n v="2"/>
    <d v="2024-03-09T00:00:00"/>
    <m/>
  </r>
  <r>
    <x v="267"/>
    <n v="49"/>
    <s v="Female"/>
    <x v="2"/>
    <s v="Senior Analyst"/>
    <s v="Fatima Noor"/>
    <x v="266"/>
    <n v="19"/>
    <n v="26"/>
    <n v="5"/>
    <n v="8"/>
    <d v="2018-06-15T00:00:00"/>
    <m/>
  </r>
  <r>
    <x v="268"/>
    <n v="43"/>
    <s v="Male"/>
    <x v="3"/>
    <s v="Analyst"/>
    <s v="David Miller"/>
    <x v="267"/>
    <n v="24"/>
    <n v="50"/>
    <n v="2"/>
    <n v="1"/>
    <d v="2015-02-22T00:00:00"/>
    <m/>
  </r>
  <r>
    <x v="269"/>
    <n v="52"/>
    <s v="Male"/>
    <x v="2"/>
    <s v="Manager"/>
    <s v="John Carter"/>
    <x v="268"/>
    <n v="21"/>
    <n v="17"/>
    <n v="2"/>
    <n v="6"/>
    <d v="2015-10-04T00:00:00"/>
    <m/>
  </r>
  <r>
    <x v="270"/>
    <n v="48"/>
    <s v="Male"/>
    <x v="5"/>
    <s v="Manager"/>
    <s v="Ahmad Hassan"/>
    <x v="269"/>
    <n v="4"/>
    <n v="58"/>
    <n v="1"/>
    <n v="6"/>
    <d v="2015-07-27T00:00:00"/>
    <d v="2016-11-06T00:00:00"/>
  </r>
  <r>
    <x v="271"/>
    <n v="22"/>
    <s v="Female"/>
    <x v="3"/>
    <s v="Specialist"/>
    <s v="Sarah Lee"/>
    <x v="270"/>
    <n v="26"/>
    <n v="18"/>
    <n v="1"/>
    <n v="9"/>
    <d v="2024-05-06T00:00:00"/>
    <m/>
  </r>
  <r>
    <x v="272"/>
    <n v="53"/>
    <s v="Female"/>
    <x v="2"/>
    <s v="Specialist"/>
    <s v="Emily Brown"/>
    <x v="271"/>
    <n v="19"/>
    <n v="48"/>
    <n v="2"/>
    <n v="3"/>
    <d v="2019-11-19T00:00:00"/>
    <m/>
  </r>
  <r>
    <x v="273"/>
    <n v="26"/>
    <s v="Female"/>
    <x v="1"/>
    <s v="Analyst"/>
    <s v="Fatima Noor"/>
    <x v="272"/>
    <n v="17"/>
    <n v="60"/>
    <n v="1"/>
    <n v="8"/>
    <d v="2020-02-06T00:00:00"/>
    <m/>
  </r>
  <r>
    <x v="274"/>
    <n v="39"/>
    <s v="Male"/>
    <x v="4"/>
    <s v="Manager"/>
    <s v="David Miller"/>
    <x v="273"/>
    <n v="11"/>
    <n v="60"/>
    <n v="5"/>
    <n v="7"/>
    <d v="2015-08-18T00:00:00"/>
    <m/>
  </r>
  <r>
    <x v="275"/>
    <n v="46"/>
    <s v="Male"/>
    <x v="4"/>
    <s v="Analyst"/>
    <s v="John Carter"/>
    <x v="274"/>
    <n v="7"/>
    <n v="6"/>
    <n v="5"/>
    <n v="4"/>
    <d v="2017-10-18T00:00:00"/>
    <m/>
  </r>
  <r>
    <x v="276"/>
    <n v="44"/>
    <s v="Male"/>
    <x v="0"/>
    <s v="Manager"/>
    <s v="Ahmad Hassan"/>
    <x v="275"/>
    <n v="27"/>
    <n v="44"/>
    <n v="1"/>
    <n v="3"/>
    <d v="2016-09-22T00:00:00"/>
    <m/>
  </r>
  <r>
    <x v="277"/>
    <n v="27"/>
    <s v="Male"/>
    <x v="3"/>
    <s v="Specialist"/>
    <s v="Ahmad Hassan"/>
    <x v="276"/>
    <n v="17"/>
    <n v="8"/>
    <n v="2"/>
    <n v="9"/>
    <d v="2018-09-07T00:00:00"/>
    <d v="2024-04-23T00:00:00"/>
  </r>
  <r>
    <x v="278"/>
    <n v="34"/>
    <s v="Male"/>
    <x v="5"/>
    <s v="Specialist"/>
    <s v="Omar Khalid"/>
    <x v="277"/>
    <n v="28"/>
    <n v="23"/>
    <n v="1"/>
    <n v="8"/>
    <d v="2024-08-21T00:00:00"/>
    <d v="2017-09-18T00:00:00"/>
  </r>
  <r>
    <x v="279"/>
    <n v="41"/>
    <s v="Male"/>
    <x v="2"/>
    <s v="Manager"/>
    <s v="Omar Khalid"/>
    <x v="278"/>
    <n v="8"/>
    <n v="21"/>
    <n v="4"/>
    <n v="6"/>
    <d v="2018-06-06T00:00:00"/>
    <m/>
  </r>
  <r>
    <x v="280"/>
    <n v="35"/>
    <s v="Male"/>
    <x v="5"/>
    <s v="Specialist"/>
    <s v="Ahmad Hassan"/>
    <x v="279"/>
    <n v="28"/>
    <n v="32"/>
    <n v="3"/>
    <n v="1"/>
    <d v="2021-06-22T00:00:00"/>
    <m/>
  </r>
  <r>
    <x v="281"/>
    <n v="40"/>
    <s v="Female"/>
    <x v="4"/>
    <s v="Specialist"/>
    <s v="Fatima Noor"/>
    <x v="280"/>
    <n v="15"/>
    <n v="0"/>
    <n v="1"/>
    <n v="3"/>
    <d v="2015-07-20T00:00:00"/>
    <m/>
  </r>
  <r>
    <x v="282"/>
    <n v="60"/>
    <s v="Female"/>
    <x v="2"/>
    <s v="Senior Analyst"/>
    <s v="Fatima Noor"/>
    <x v="281"/>
    <n v="23"/>
    <n v="26"/>
    <n v="5"/>
    <n v="9"/>
    <d v="2021-05-15T00:00:00"/>
    <d v="2018-04-13T00:00:00"/>
  </r>
  <r>
    <x v="283"/>
    <n v="57"/>
    <s v="Female"/>
    <x v="4"/>
    <s v="Senior Analyst"/>
    <s v="Fatima Noor"/>
    <x v="282"/>
    <n v="16"/>
    <n v="34"/>
    <n v="2"/>
    <n v="4"/>
    <d v="2020-06-11T00:00:00"/>
    <m/>
  </r>
  <r>
    <x v="284"/>
    <n v="41"/>
    <s v="Male"/>
    <x v="4"/>
    <s v="Specialist"/>
    <s v="David Miller"/>
    <x v="283"/>
    <n v="25"/>
    <n v="55"/>
    <n v="1"/>
    <n v="5"/>
    <d v="2021-01-20T00:00:00"/>
    <m/>
  </r>
  <r>
    <x v="285"/>
    <n v="60"/>
    <s v="Female"/>
    <x v="4"/>
    <s v="Associate"/>
    <s v="Emily Brown"/>
    <x v="284"/>
    <n v="27"/>
    <n v="26"/>
    <n v="4"/>
    <n v="3"/>
    <d v="2024-11-10T00:00:00"/>
    <m/>
  </r>
  <r>
    <x v="286"/>
    <n v="59"/>
    <s v="Male"/>
    <x v="3"/>
    <s v="Senior Analyst"/>
    <s v="Ahmad Hassan"/>
    <x v="285"/>
    <n v="11"/>
    <n v="49"/>
    <n v="1"/>
    <n v="9"/>
    <d v="2024-04-04T00:00:00"/>
    <m/>
  </r>
  <r>
    <x v="287"/>
    <n v="29"/>
    <s v="Female"/>
    <x v="1"/>
    <s v="Senior Analyst"/>
    <s v="Fatima Noor"/>
    <x v="286"/>
    <n v="11"/>
    <n v="5"/>
    <n v="3"/>
    <n v="8"/>
    <d v="2020-06-21T00:00:00"/>
    <m/>
  </r>
  <r>
    <x v="288"/>
    <n v="21"/>
    <s v="Female"/>
    <x v="0"/>
    <s v="Analyst"/>
    <s v="Emily Brown"/>
    <x v="287"/>
    <n v="18"/>
    <n v="54"/>
    <n v="5"/>
    <n v="4"/>
    <d v="2019-02-24T00:00:00"/>
    <m/>
  </r>
  <r>
    <x v="289"/>
    <n v="34"/>
    <s v="Female"/>
    <x v="4"/>
    <s v="Senior Analyst"/>
    <s v="Sarah Lee"/>
    <x v="288"/>
    <n v="11"/>
    <n v="33"/>
    <n v="3"/>
    <n v="7"/>
    <d v="2022-07-15T00:00:00"/>
    <d v="2024-01-04T00:00:00"/>
  </r>
  <r>
    <x v="290"/>
    <n v="26"/>
    <s v="Female"/>
    <x v="3"/>
    <s v="Specialist"/>
    <s v="Fatima Noor"/>
    <x v="289"/>
    <n v="9"/>
    <n v="6"/>
    <n v="1"/>
    <n v="4"/>
    <d v="2018-11-01T00:00:00"/>
    <m/>
  </r>
  <r>
    <x v="291"/>
    <n v="47"/>
    <s v="Male"/>
    <x v="5"/>
    <s v="Associate"/>
    <s v="Ahmad Hassan"/>
    <x v="290"/>
    <n v="26"/>
    <n v="1"/>
    <n v="3"/>
    <n v="4"/>
    <d v="2023-10-08T00:00:00"/>
    <m/>
  </r>
  <r>
    <x v="292"/>
    <n v="23"/>
    <s v="Male"/>
    <x v="2"/>
    <s v="Associate"/>
    <s v="Omar Khalid"/>
    <x v="291"/>
    <n v="11"/>
    <n v="40"/>
    <m/>
    <n v="3"/>
    <d v="2016-02-02T00:00:00"/>
    <m/>
  </r>
  <r>
    <x v="293"/>
    <n v="54"/>
    <s v="Male"/>
    <x v="5"/>
    <s v="Senior Analyst"/>
    <s v="Ahmad Hassan"/>
    <x v="292"/>
    <n v="10"/>
    <n v="47"/>
    <m/>
    <n v="3"/>
    <d v="2023-01-01T00:00:00"/>
    <d v="2022-06-04T00:00:00"/>
  </r>
  <r>
    <x v="294"/>
    <n v="22"/>
    <s v="Male"/>
    <x v="1"/>
    <s v="Associate"/>
    <s v="Ahmad Hassan"/>
    <x v="293"/>
    <n v="15"/>
    <n v="18"/>
    <m/>
    <n v="4"/>
    <d v="2024-12-25T00:00:00"/>
    <d v="2024-07-24T00:00:00"/>
  </r>
  <r>
    <x v="295"/>
    <n v="32"/>
    <s v="Male"/>
    <x v="1"/>
    <s v="Associate"/>
    <s v="John Carter"/>
    <x v="294"/>
    <n v="4"/>
    <n v="15"/>
    <n v="2"/>
    <n v="8"/>
    <d v="2020-02-14T00:00:00"/>
    <d v="2022-10-22T00:00:00"/>
  </r>
  <r>
    <x v="296"/>
    <n v="21"/>
    <s v="Male"/>
    <x v="3"/>
    <s v="Senior Analyst"/>
    <s v="David Miller"/>
    <x v="295"/>
    <n v="7"/>
    <n v="6"/>
    <n v="5"/>
    <n v="6"/>
    <d v="2024-12-18T00:00:00"/>
    <m/>
  </r>
  <r>
    <x v="297"/>
    <n v="58"/>
    <s v="Male"/>
    <x v="5"/>
    <s v="Manager"/>
    <s v="John Carter"/>
    <x v="296"/>
    <n v="28"/>
    <n v="4"/>
    <m/>
    <n v="10"/>
    <d v="2018-03-14T00:00:00"/>
    <m/>
  </r>
  <r>
    <x v="298"/>
    <n v="42"/>
    <s v="Male"/>
    <x v="2"/>
    <s v="Analyst"/>
    <s v="Ahmad Hassan"/>
    <x v="297"/>
    <n v="22"/>
    <n v="0"/>
    <m/>
    <n v="5"/>
    <d v="2022-02-06T00:00:00"/>
    <d v="2021-12-07T00:00:00"/>
  </r>
  <r>
    <x v="299"/>
    <n v="34"/>
    <s v="Female"/>
    <x v="3"/>
    <s v="Manager"/>
    <s v="Emily Brown"/>
    <x v="298"/>
    <n v="8"/>
    <n v="6"/>
    <n v="5"/>
    <n v="7"/>
    <d v="2018-06-19T00:00:00"/>
    <m/>
  </r>
  <r>
    <x v="300"/>
    <n v="24"/>
    <s v="Male"/>
    <x v="0"/>
    <s v="Specialist"/>
    <s v="David Miller"/>
    <x v="299"/>
    <n v="24"/>
    <n v="49"/>
    <n v="4"/>
    <n v="7"/>
    <d v="2016-03-22T00:00:00"/>
    <m/>
  </r>
  <r>
    <x v="301"/>
    <n v="39"/>
    <s v="Female"/>
    <x v="1"/>
    <s v="Associate"/>
    <s v="Sarah Lee"/>
    <x v="300"/>
    <n v="17"/>
    <n v="38"/>
    <n v="3"/>
    <n v="4"/>
    <d v="2019-04-09T00:00:00"/>
    <m/>
  </r>
  <r>
    <x v="302"/>
    <n v="49"/>
    <s v="Female"/>
    <x v="5"/>
    <s v="Senior Analyst"/>
    <s v="Fatima Noor"/>
    <x v="301"/>
    <n v="6"/>
    <n v="51"/>
    <m/>
    <n v="10"/>
    <d v="2022-11-22T00:00:00"/>
    <m/>
  </r>
  <r>
    <x v="303"/>
    <n v="48"/>
    <s v="Female"/>
    <x v="2"/>
    <s v="Specialist"/>
    <s v="Sarah Lee"/>
    <x v="302"/>
    <n v="18"/>
    <n v="55"/>
    <n v="1"/>
    <n v="5"/>
    <d v="2023-12-15T00:00:00"/>
    <d v="2020-06-01T00:00:00"/>
  </r>
  <r>
    <x v="304"/>
    <n v="36"/>
    <s v="Female"/>
    <x v="4"/>
    <s v="Associate"/>
    <s v="Fatima Noor"/>
    <x v="303"/>
    <n v="9"/>
    <n v="2"/>
    <n v="4"/>
    <n v="5"/>
    <d v="2024-12-28T00:00:00"/>
    <d v="2016-05-16T00:00:00"/>
  </r>
  <r>
    <x v="305"/>
    <n v="38"/>
    <s v="Male"/>
    <x v="5"/>
    <s v="Manager"/>
    <s v="David Miller"/>
    <x v="304"/>
    <n v="10"/>
    <n v="17"/>
    <n v="2"/>
    <n v="4"/>
    <d v="2018-10-02T00:00:00"/>
    <m/>
  </r>
  <r>
    <x v="306"/>
    <n v="51"/>
    <s v="Male"/>
    <x v="4"/>
    <s v="Senior Analyst"/>
    <s v="Omar Khalid"/>
    <x v="305"/>
    <n v="29"/>
    <n v="11"/>
    <m/>
    <n v="5"/>
    <d v="2021-01-08T00:00:00"/>
    <m/>
  </r>
  <r>
    <x v="307"/>
    <n v="30"/>
    <s v="Female"/>
    <x v="5"/>
    <s v="Senior Analyst"/>
    <s v="Sarah Lee"/>
    <x v="306"/>
    <n v="22"/>
    <n v="32"/>
    <n v="5"/>
    <n v="7"/>
    <d v="2020-12-10T00:00:00"/>
    <m/>
  </r>
  <r>
    <x v="308"/>
    <n v="45"/>
    <s v="Female"/>
    <x v="2"/>
    <s v="Specialist"/>
    <s v="Emily Brown"/>
    <x v="307"/>
    <n v="12"/>
    <n v="53"/>
    <n v="4"/>
    <n v="1"/>
    <d v="2019-03-25T00:00:00"/>
    <d v="2017-01-04T00:00:00"/>
  </r>
  <r>
    <x v="309"/>
    <n v="50"/>
    <s v="Female"/>
    <x v="4"/>
    <s v="Senior Analyst"/>
    <s v="Emily Brown"/>
    <x v="308"/>
    <n v="22"/>
    <n v="57"/>
    <n v="5"/>
    <n v="8"/>
    <d v="2015-02-26T00:00:00"/>
    <d v="2024-05-04T00:00:00"/>
  </r>
  <r>
    <x v="310"/>
    <n v="29"/>
    <s v="Male"/>
    <x v="2"/>
    <s v="Manager"/>
    <s v="Omar Khalid"/>
    <x v="309"/>
    <n v="5"/>
    <n v="0"/>
    <m/>
    <n v="3"/>
    <d v="2017-01-14T00:00:00"/>
    <m/>
  </r>
  <r>
    <x v="311"/>
    <n v="28"/>
    <s v="Female"/>
    <x v="1"/>
    <s v="Specialist"/>
    <s v="Fatima Noor"/>
    <x v="310"/>
    <n v="26"/>
    <n v="11"/>
    <n v="3"/>
    <n v="6"/>
    <d v="2023-05-02T00:00:00"/>
    <m/>
  </r>
  <r>
    <x v="312"/>
    <n v="29"/>
    <s v="Female"/>
    <x v="4"/>
    <s v="Specialist"/>
    <s v="Fatima Noor"/>
    <x v="311"/>
    <n v="6"/>
    <n v="60"/>
    <n v="4"/>
    <n v="4"/>
    <d v="2020-02-15T00:00:00"/>
    <m/>
  </r>
  <r>
    <x v="313"/>
    <n v="40"/>
    <s v="Male"/>
    <x v="2"/>
    <s v="Specialist"/>
    <s v="Omar Khalid"/>
    <x v="312"/>
    <n v="15"/>
    <n v="1"/>
    <n v="5"/>
    <n v="4"/>
    <d v="2019-05-15T00:00:00"/>
    <m/>
  </r>
  <r>
    <x v="314"/>
    <n v="43"/>
    <s v="Male"/>
    <x v="5"/>
    <s v="Specialist"/>
    <s v="David Miller"/>
    <x v="313"/>
    <n v="30"/>
    <n v="37"/>
    <n v="5"/>
    <n v="8"/>
    <d v="2023-11-01T00:00:00"/>
    <d v="2017-06-10T00:00:00"/>
  </r>
  <r>
    <x v="315"/>
    <n v="55"/>
    <s v="Male"/>
    <x v="5"/>
    <s v="Manager"/>
    <s v="Ahmad Hassan"/>
    <x v="314"/>
    <n v="29"/>
    <n v="9"/>
    <n v="4"/>
    <n v="9"/>
    <d v="2024-06-02T00:00:00"/>
    <m/>
  </r>
  <r>
    <x v="316"/>
    <n v="51"/>
    <s v="Male"/>
    <x v="1"/>
    <s v="Specialist"/>
    <s v="Ahmad Hassan"/>
    <x v="315"/>
    <n v="30"/>
    <n v="29"/>
    <n v="1"/>
    <n v="5"/>
    <d v="2023-02-13T00:00:00"/>
    <m/>
  </r>
  <r>
    <x v="317"/>
    <n v="43"/>
    <s v="Male"/>
    <x v="2"/>
    <s v="Specialist"/>
    <s v="Ahmad Hassan"/>
    <x v="316"/>
    <n v="15"/>
    <n v="26"/>
    <n v="4"/>
    <n v="7"/>
    <d v="2019-04-16T00:00:00"/>
    <d v="2019-09-09T00:00:00"/>
  </r>
  <r>
    <x v="318"/>
    <n v="23"/>
    <s v="Male"/>
    <x v="5"/>
    <s v="Manager"/>
    <s v="Ahmad Hassan"/>
    <x v="317"/>
    <n v="26"/>
    <n v="51"/>
    <n v="2"/>
    <n v="4"/>
    <d v="2019-12-02T00:00:00"/>
    <m/>
  </r>
  <r>
    <x v="319"/>
    <n v="53"/>
    <s v="Male"/>
    <x v="1"/>
    <s v="Senior Analyst"/>
    <s v="John Carter"/>
    <x v="318"/>
    <n v="19"/>
    <n v="24"/>
    <n v="4"/>
    <n v="7"/>
    <d v="2017-02-03T00:00:00"/>
    <m/>
  </r>
  <r>
    <x v="320"/>
    <n v="60"/>
    <s v="Male"/>
    <x v="2"/>
    <s v="Associate"/>
    <s v="Ahmad Hassan"/>
    <x v="319"/>
    <n v="20"/>
    <n v="14"/>
    <m/>
    <n v="3"/>
    <d v="2020-10-27T00:00:00"/>
    <m/>
  </r>
  <r>
    <x v="321"/>
    <n v="57"/>
    <s v="Female"/>
    <x v="4"/>
    <s v="Senior Analyst"/>
    <s v="Emily Brown"/>
    <x v="320"/>
    <n v="12"/>
    <n v="31"/>
    <m/>
    <n v="8"/>
    <d v="2021-09-16T00:00:00"/>
    <m/>
  </r>
  <r>
    <x v="322"/>
    <n v="29"/>
    <s v="Male"/>
    <x v="3"/>
    <s v="Associate"/>
    <s v="Ahmad Hassan"/>
    <x v="321"/>
    <n v="30"/>
    <n v="48"/>
    <n v="5"/>
    <n v="6"/>
    <d v="2020-10-05T00:00:00"/>
    <m/>
  </r>
  <r>
    <x v="323"/>
    <n v="40"/>
    <s v="Male"/>
    <x v="0"/>
    <s v="Specialist"/>
    <s v="John Carter"/>
    <x v="322"/>
    <n v="5"/>
    <n v="13"/>
    <m/>
    <n v="10"/>
    <d v="2023-05-05T00:00:00"/>
    <m/>
  </r>
  <r>
    <x v="324"/>
    <n v="57"/>
    <s v="Male"/>
    <x v="2"/>
    <s v="Associate"/>
    <s v="Ahmad Hassan"/>
    <x v="323"/>
    <n v="24"/>
    <n v="52"/>
    <m/>
    <n v="2"/>
    <d v="2017-07-23T00:00:00"/>
    <m/>
  </r>
  <r>
    <x v="325"/>
    <n v="49"/>
    <s v="Male"/>
    <x v="5"/>
    <s v="Manager"/>
    <s v="Omar Khalid"/>
    <x v="324"/>
    <n v="6"/>
    <n v="12"/>
    <m/>
    <n v="1"/>
    <d v="2024-03-01T00:00:00"/>
    <m/>
  </r>
  <r>
    <x v="326"/>
    <n v="33"/>
    <s v="Female"/>
    <x v="5"/>
    <s v="Manager"/>
    <s v="Fatima Noor"/>
    <x v="325"/>
    <n v="13"/>
    <n v="2"/>
    <n v="1"/>
    <n v="8"/>
    <d v="2016-02-05T00:00:00"/>
    <d v="2023-06-01T00:00:00"/>
  </r>
  <r>
    <x v="327"/>
    <n v="59"/>
    <s v="Female"/>
    <x v="1"/>
    <s v="Senior Analyst"/>
    <s v="Fatima Noor"/>
    <x v="326"/>
    <n v="2"/>
    <n v="8"/>
    <m/>
    <n v="9"/>
    <d v="2024-06-24T00:00:00"/>
    <m/>
  </r>
  <r>
    <x v="328"/>
    <n v="51"/>
    <s v="Female"/>
    <x v="4"/>
    <s v="Specialist"/>
    <s v="Sarah Lee"/>
    <x v="327"/>
    <n v="15"/>
    <n v="30"/>
    <m/>
    <n v="9"/>
    <d v="2020-07-04T00:00:00"/>
    <m/>
  </r>
  <r>
    <x v="329"/>
    <n v="44"/>
    <s v="Female"/>
    <x v="0"/>
    <s v="Specialist"/>
    <s v="Fatima Noor"/>
    <x v="328"/>
    <n v="23"/>
    <n v="14"/>
    <n v="3"/>
    <n v="6"/>
    <d v="2019-07-12T00:00:00"/>
    <m/>
  </r>
  <r>
    <x v="330"/>
    <n v="40"/>
    <s v="Female"/>
    <x v="2"/>
    <s v="Senior Analyst"/>
    <s v="Emily Brown"/>
    <x v="329"/>
    <n v="16"/>
    <n v="5"/>
    <n v="1"/>
    <n v="8"/>
    <d v="2021-11-24T00:00:00"/>
    <d v="2023-01-23T00:00:00"/>
  </r>
  <r>
    <x v="331"/>
    <n v="41"/>
    <s v="Male"/>
    <x v="5"/>
    <s v="Specialist"/>
    <s v="Omar Khalid"/>
    <x v="330"/>
    <n v="14"/>
    <n v="34"/>
    <m/>
    <n v="7"/>
    <d v="2023-10-13T00:00:00"/>
    <m/>
  </r>
  <r>
    <x v="332"/>
    <n v="39"/>
    <s v="Male"/>
    <x v="2"/>
    <s v="Manager"/>
    <s v="John Carter"/>
    <x v="331"/>
    <n v="16"/>
    <n v="58"/>
    <n v="3"/>
    <n v="9"/>
    <d v="2020-10-28T00:00:00"/>
    <m/>
  </r>
  <r>
    <x v="333"/>
    <n v="23"/>
    <s v="Male"/>
    <x v="2"/>
    <s v="Specialist"/>
    <s v="Ahmad Hassan"/>
    <x v="332"/>
    <n v="0"/>
    <n v="51"/>
    <m/>
    <n v="2"/>
    <d v="2020-07-23T00:00:00"/>
    <d v="2022-04-21T00:00:00"/>
  </r>
  <r>
    <x v="334"/>
    <n v="29"/>
    <s v="Male"/>
    <x v="0"/>
    <s v="Manager"/>
    <s v="Omar Khalid"/>
    <x v="333"/>
    <n v="16"/>
    <n v="19"/>
    <n v="2"/>
    <n v="3"/>
    <d v="2017-06-28T00:00:00"/>
    <m/>
  </r>
  <r>
    <x v="335"/>
    <n v="52"/>
    <s v="Female"/>
    <x v="0"/>
    <s v="Senior Analyst"/>
    <s v="Sarah Lee"/>
    <x v="334"/>
    <n v="0"/>
    <n v="28"/>
    <n v="3"/>
    <n v="4"/>
    <d v="2018-06-24T00:00:00"/>
    <d v="2022-03-20T00:00:00"/>
  </r>
  <r>
    <x v="336"/>
    <n v="22"/>
    <s v="Female"/>
    <x v="2"/>
    <s v="Senior Analyst"/>
    <s v="Sarah Lee"/>
    <x v="335"/>
    <n v="26"/>
    <n v="51"/>
    <n v="1"/>
    <n v="3"/>
    <d v="2022-03-19T00:00:00"/>
    <m/>
  </r>
  <r>
    <x v="337"/>
    <n v="26"/>
    <s v="Male"/>
    <x v="4"/>
    <s v="Manager"/>
    <s v="David Miller"/>
    <x v="336"/>
    <n v="8"/>
    <n v="10"/>
    <m/>
    <n v="4"/>
    <d v="2023-12-19T00:00:00"/>
    <m/>
  </r>
  <r>
    <x v="338"/>
    <n v="40"/>
    <s v="Male"/>
    <x v="0"/>
    <s v="Senior Analyst"/>
    <s v="David Miller"/>
    <x v="337"/>
    <n v="22"/>
    <n v="50"/>
    <m/>
    <n v="4"/>
    <d v="2020-06-27T00:00:00"/>
    <m/>
  </r>
  <r>
    <x v="339"/>
    <n v="40"/>
    <s v="Female"/>
    <x v="2"/>
    <s v="Analyst"/>
    <s v="Sarah Lee"/>
    <x v="338"/>
    <n v="19"/>
    <n v="11"/>
    <n v="4"/>
    <n v="7"/>
    <d v="2016-11-04T00:00:00"/>
    <m/>
  </r>
  <r>
    <x v="340"/>
    <n v="26"/>
    <s v="Male"/>
    <x v="5"/>
    <s v="Analyst"/>
    <s v="David Miller"/>
    <x v="339"/>
    <n v="30"/>
    <n v="33"/>
    <n v="2"/>
    <n v="9"/>
    <d v="2016-09-04T00:00:00"/>
    <m/>
  </r>
  <r>
    <x v="341"/>
    <n v="44"/>
    <s v="Female"/>
    <x v="2"/>
    <s v="Associate"/>
    <s v="Emily Brown"/>
    <x v="340"/>
    <n v="18"/>
    <n v="20"/>
    <n v="3"/>
    <n v="5"/>
    <d v="2022-05-04T00:00:00"/>
    <m/>
  </r>
  <r>
    <x v="342"/>
    <n v="39"/>
    <s v="Male"/>
    <x v="1"/>
    <s v="Manager"/>
    <s v="David Miller"/>
    <x v="341"/>
    <n v="11"/>
    <n v="60"/>
    <n v="2"/>
    <n v="10"/>
    <d v="2021-04-19T00:00:00"/>
    <d v="2018-04-21T00:00:00"/>
  </r>
  <r>
    <x v="343"/>
    <n v="37"/>
    <s v="Male"/>
    <x v="4"/>
    <s v="Manager"/>
    <s v="David Miller"/>
    <x v="342"/>
    <n v="29"/>
    <n v="60"/>
    <n v="3"/>
    <n v="10"/>
    <d v="2021-10-07T00:00:00"/>
    <d v="2018-05-11T00:00:00"/>
  </r>
  <r>
    <x v="344"/>
    <n v="44"/>
    <s v="Female"/>
    <x v="0"/>
    <s v="Senior Analyst"/>
    <s v="Emily Brown"/>
    <x v="343"/>
    <n v="6"/>
    <n v="52"/>
    <m/>
    <n v="10"/>
    <d v="2015-03-19T00:00:00"/>
    <m/>
  </r>
  <r>
    <x v="345"/>
    <n v="45"/>
    <s v="Male"/>
    <x v="0"/>
    <s v="Senior Analyst"/>
    <s v="Ahmad Hassan"/>
    <x v="344"/>
    <n v="21"/>
    <n v="2"/>
    <n v="1"/>
    <n v="8"/>
    <d v="2017-05-13T00:00:00"/>
    <m/>
  </r>
  <r>
    <x v="346"/>
    <n v="32"/>
    <s v="Female"/>
    <x v="2"/>
    <s v="Specialist"/>
    <s v="Sarah Lee"/>
    <x v="345"/>
    <n v="11"/>
    <n v="39"/>
    <n v="2"/>
    <n v="8"/>
    <d v="2020-09-12T00:00:00"/>
    <m/>
  </r>
  <r>
    <x v="347"/>
    <n v="41"/>
    <s v="Male"/>
    <x v="2"/>
    <s v="Manager"/>
    <s v="Ahmad Hassan"/>
    <x v="346"/>
    <n v="2"/>
    <n v="9"/>
    <n v="4"/>
    <n v="6"/>
    <d v="2024-09-16T00:00:00"/>
    <d v="2019-08-28T00:00:00"/>
  </r>
  <r>
    <x v="348"/>
    <n v="38"/>
    <s v="Male"/>
    <x v="2"/>
    <s v="Manager"/>
    <s v="John Carter"/>
    <x v="347"/>
    <n v="3"/>
    <n v="37"/>
    <n v="4"/>
    <n v="4"/>
    <d v="2019-03-18T00:00:00"/>
    <d v="2017-05-22T00:00:00"/>
  </r>
  <r>
    <x v="349"/>
    <n v="31"/>
    <s v="Male"/>
    <x v="2"/>
    <s v="Analyst"/>
    <s v="Omar Khalid"/>
    <x v="348"/>
    <n v="3"/>
    <n v="50"/>
    <n v="3"/>
    <n v="9"/>
    <d v="2021-11-25T00:00:00"/>
    <d v="2016-07-18T00:00:00"/>
  </r>
  <r>
    <x v="350"/>
    <n v="23"/>
    <s v="Male"/>
    <x v="2"/>
    <s v="Specialist"/>
    <s v="John Carter"/>
    <x v="349"/>
    <n v="16"/>
    <n v="42"/>
    <n v="3"/>
    <n v="4"/>
    <d v="2020-06-15T00:00:00"/>
    <m/>
  </r>
  <r>
    <x v="351"/>
    <n v="34"/>
    <s v="Male"/>
    <x v="0"/>
    <s v="Manager"/>
    <s v="Ahmad Hassan"/>
    <x v="350"/>
    <n v="13"/>
    <n v="32"/>
    <m/>
    <n v="3"/>
    <d v="2017-08-02T00:00:00"/>
    <m/>
  </r>
  <r>
    <x v="352"/>
    <n v="32"/>
    <s v="Male"/>
    <x v="4"/>
    <s v="Manager"/>
    <s v="Omar Khalid"/>
    <x v="351"/>
    <n v="7"/>
    <n v="60"/>
    <n v="2"/>
    <n v="5"/>
    <d v="2023-02-04T00:00:00"/>
    <m/>
  </r>
  <r>
    <x v="353"/>
    <n v="54"/>
    <s v="Male"/>
    <x v="0"/>
    <s v="Manager"/>
    <s v="Omar Khalid"/>
    <x v="352"/>
    <n v="0"/>
    <n v="22"/>
    <n v="5"/>
    <n v="7"/>
    <d v="2021-12-08T00:00:00"/>
    <d v="2023-12-27T00:00:00"/>
  </r>
  <r>
    <x v="354"/>
    <n v="57"/>
    <s v="Female"/>
    <x v="2"/>
    <s v="Manager"/>
    <s v="Fatima Noor"/>
    <x v="353"/>
    <n v="25"/>
    <n v="56"/>
    <n v="2"/>
    <n v="7"/>
    <d v="2023-08-21T00:00:00"/>
    <m/>
  </r>
  <r>
    <x v="355"/>
    <n v="26"/>
    <s v="Male"/>
    <x v="2"/>
    <s v="Manager"/>
    <s v="John Carter"/>
    <x v="354"/>
    <n v="15"/>
    <n v="43"/>
    <n v="1"/>
    <n v="6"/>
    <d v="2016-11-05T00:00:00"/>
    <m/>
  </r>
  <r>
    <x v="356"/>
    <n v="21"/>
    <s v="Male"/>
    <x v="3"/>
    <s v="Specialist"/>
    <s v="Ahmad Hassan"/>
    <x v="355"/>
    <n v="19"/>
    <n v="19"/>
    <n v="5"/>
    <n v="10"/>
    <d v="2022-03-14T00:00:00"/>
    <m/>
  </r>
  <r>
    <x v="357"/>
    <n v="31"/>
    <s v="Male"/>
    <x v="1"/>
    <s v="Specialist"/>
    <s v="David Miller"/>
    <x v="356"/>
    <n v="23"/>
    <n v="45"/>
    <n v="2"/>
    <n v="6"/>
    <d v="2024-08-02T00:00:00"/>
    <d v="2018-04-09T00:00:00"/>
  </r>
  <r>
    <x v="358"/>
    <n v="48"/>
    <s v="Female"/>
    <x v="4"/>
    <s v="Specialist"/>
    <s v="Sarah Lee"/>
    <x v="357"/>
    <n v="10"/>
    <n v="2"/>
    <m/>
    <n v="7"/>
    <d v="2016-07-06T00:00:00"/>
    <d v="2024-09-02T00:00:00"/>
  </r>
  <r>
    <x v="359"/>
    <n v="26"/>
    <s v="Male"/>
    <x v="4"/>
    <s v="Associate"/>
    <s v="David Miller"/>
    <x v="358"/>
    <n v="10"/>
    <n v="4"/>
    <m/>
    <n v="9"/>
    <d v="2015-03-08T00:00:00"/>
    <d v="2017-06-08T00:00:00"/>
  </r>
  <r>
    <x v="360"/>
    <n v="39"/>
    <s v="Male"/>
    <x v="5"/>
    <s v="Senior Analyst"/>
    <s v="Omar Khalid"/>
    <x v="359"/>
    <n v="26"/>
    <n v="50"/>
    <m/>
    <n v="3"/>
    <d v="2022-07-28T00:00:00"/>
    <m/>
  </r>
  <r>
    <x v="361"/>
    <n v="44"/>
    <s v="Female"/>
    <x v="0"/>
    <s v="Manager"/>
    <s v="Sarah Lee"/>
    <x v="360"/>
    <n v="28"/>
    <n v="57"/>
    <m/>
    <n v="9"/>
    <d v="2016-11-12T00:00:00"/>
    <m/>
  </r>
  <r>
    <x v="362"/>
    <n v="59"/>
    <s v="Male"/>
    <x v="0"/>
    <s v="Manager"/>
    <s v="David Miller"/>
    <x v="361"/>
    <n v="6"/>
    <n v="39"/>
    <m/>
    <n v="3"/>
    <d v="2023-03-09T00:00:00"/>
    <m/>
  </r>
  <r>
    <x v="363"/>
    <n v="21"/>
    <s v="Female"/>
    <x v="2"/>
    <s v="Associate"/>
    <s v="Sarah Lee"/>
    <x v="362"/>
    <n v="19"/>
    <n v="4"/>
    <n v="4"/>
    <n v="7"/>
    <d v="2016-03-27T00:00:00"/>
    <m/>
  </r>
  <r>
    <x v="364"/>
    <n v="22"/>
    <s v="Female"/>
    <x v="5"/>
    <s v="Specialist"/>
    <s v="Sarah Lee"/>
    <x v="363"/>
    <n v="12"/>
    <n v="12"/>
    <n v="5"/>
    <n v="1"/>
    <d v="2015-02-03T00:00:00"/>
    <m/>
  </r>
  <r>
    <x v="365"/>
    <n v="38"/>
    <s v="Male"/>
    <x v="5"/>
    <s v="Manager"/>
    <s v="Ahmad Hassan"/>
    <x v="364"/>
    <n v="4"/>
    <n v="57"/>
    <n v="5"/>
    <n v="4"/>
    <d v="2017-10-06T00:00:00"/>
    <m/>
  </r>
  <r>
    <x v="366"/>
    <n v="36"/>
    <s v="Male"/>
    <x v="0"/>
    <s v="Specialist"/>
    <s v="Ahmad Hassan"/>
    <x v="365"/>
    <n v="26"/>
    <n v="13"/>
    <n v="3"/>
    <n v="3"/>
    <d v="2015-01-25T00:00:00"/>
    <d v="2018-05-16T00:00:00"/>
  </r>
  <r>
    <x v="367"/>
    <n v="22"/>
    <s v="Male"/>
    <x v="2"/>
    <s v="Manager"/>
    <s v="David Miller"/>
    <x v="366"/>
    <n v="23"/>
    <n v="31"/>
    <m/>
    <n v="1"/>
    <d v="2020-07-17T00:00:00"/>
    <m/>
  </r>
  <r>
    <x v="368"/>
    <n v="51"/>
    <s v="Female"/>
    <x v="4"/>
    <s v="Manager"/>
    <s v="Emily Brown"/>
    <x v="367"/>
    <n v="9"/>
    <n v="58"/>
    <m/>
    <n v="3"/>
    <d v="2016-08-09T00:00:00"/>
    <d v="2020-04-23T00:00:00"/>
  </r>
  <r>
    <x v="369"/>
    <n v="50"/>
    <s v="Female"/>
    <x v="0"/>
    <s v="Associate"/>
    <s v="Sarah Lee"/>
    <x v="368"/>
    <n v="27"/>
    <n v="59"/>
    <n v="4"/>
    <n v="8"/>
    <d v="2015-10-07T00:00:00"/>
    <m/>
  </r>
  <r>
    <x v="370"/>
    <n v="31"/>
    <s v="Female"/>
    <x v="0"/>
    <s v="Manager"/>
    <s v="Emily Brown"/>
    <x v="369"/>
    <n v="7"/>
    <n v="10"/>
    <n v="4"/>
    <n v="8"/>
    <d v="2019-03-09T00:00:00"/>
    <m/>
  </r>
  <r>
    <x v="371"/>
    <n v="51"/>
    <s v="Female"/>
    <x v="2"/>
    <s v="Specialist"/>
    <s v="Fatima Noor"/>
    <x v="370"/>
    <n v="6"/>
    <n v="12"/>
    <n v="5"/>
    <n v="7"/>
    <d v="2016-04-05T00:00:00"/>
    <m/>
  </r>
  <r>
    <x v="372"/>
    <n v="51"/>
    <s v="Female"/>
    <x v="4"/>
    <s v="Analyst"/>
    <s v="Emily Brown"/>
    <x v="371"/>
    <n v="7"/>
    <n v="4"/>
    <m/>
    <n v="7"/>
    <d v="2024-05-09T00:00:00"/>
    <m/>
  </r>
  <r>
    <x v="373"/>
    <n v="58"/>
    <s v="Male"/>
    <x v="2"/>
    <s v="Manager"/>
    <s v="Omar Khalid"/>
    <x v="372"/>
    <n v="1"/>
    <n v="8"/>
    <n v="5"/>
    <n v="1"/>
    <d v="2016-06-15T00:00:00"/>
    <m/>
  </r>
  <r>
    <x v="374"/>
    <n v="34"/>
    <s v="Female"/>
    <x v="2"/>
    <s v="Senior Analyst"/>
    <s v="Fatima Noor"/>
    <x v="373"/>
    <n v="17"/>
    <n v="58"/>
    <n v="2"/>
    <n v="2"/>
    <d v="2016-03-11T00:00:00"/>
    <m/>
  </r>
  <r>
    <x v="375"/>
    <n v="46"/>
    <s v="Female"/>
    <x v="0"/>
    <s v="Manager"/>
    <s v="Emily Brown"/>
    <x v="374"/>
    <n v="22"/>
    <n v="34"/>
    <n v="4"/>
    <n v="6"/>
    <d v="2019-03-24T00:00:00"/>
    <m/>
  </r>
  <r>
    <x v="376"/>
    <n v="43"/>
    <s v="Male"/>
    <x v="5"/>
    <s v="Specialist"/>
    <s v="John Carter"/>
    <x v="375"/>
    <n v="13"/>
    <n v="41"/>
    <n v="3"/>
    <n v="3"/>
    <d v="2016-11-16T00:00:00"/>
    <m/>
  </r>
  <r>
    <x v="377"/>
    <n v="60"/>
    <s v="Female"/>
    <x v="1"/>
    <s v="Analyst"/>
    <s v="Sarah Lee"/>
    <x v="376"/>
    <n v="30"/>
    <n v="46"/>
    <n v="4"/>
    <n v="3"/>
    <d v="2020-05-14T00:00:00"/>
    <d v="2021-10-06T00:00:00"/>
  </r>
  <r>
    <x v="378"/>
    <n v="46"/>
    <s v="Female"/>
    <x v="0"/>
    <s v="Specialist"/>
    <s v="Fatima Noor"/>
    <x v="377"/>
    <n v="14"/>
    <n v="36"/>
    <n v="3"/>
    <n v="3"/>
    <d v="2024-06-12T00:00:00"/>
    <m/>
  </r>
  <r>
    <x v="379"/>
    <n v="29"/>
    <s v="Male"/>
    <x v="5"/>
    <s v="Manager"/>
    <s v="John Carter"/>
    <x v="378"/>
    <n v="8"/>
    <n v="57"/>
    <n v="3"/>
    <n v="10"/>
    <d v="2022-12-01T00:00:00"/>
    <d v="2021-09-20T00:00:00"/>
  </r>
  <r>
    <x v="380"/>
    <n v="57"/>
    <s v="Male"/>
    <x v="1"/>
    <s v="Associate"/>
    <s v="Omar Khalid"/>
    <x v="379"/>
    <n v="25"/>
    <n v="53"/>
    <n v="1"/>
    <n v="5"/>
    <d v="2019-11-11T00:00:00"/>
    <d v="2019-09-22T00:00:00"/>
  </r>
  <r>
    <x v="381"/>
    <n v="43"/>
    <s v="Female"/>
    <x v="5"/>
    <s v="Analyst"/>
    <s v="Fatima Noor"/>
    <x v="380"/>
    <n v="29"/>
    <n v="13"/>
    <n v="2"/>
    <n v="5"/>
    <d v="2015-12-07T00:00:00"/>
    <m/>
  </r>
  <r>
    <x v="382"/>
    <n v="34"/>
    <s v="Female"/>
    <x v="5"/>
    <s v="Senior Analyst"/>
    <s v="Sarah Lee"/>
    <x v="381"/>
    <n v="28"/>
    <n v="57"/>
    <n v="4"/>
    <n v="1"/>
    <d v="2020-08-04T00:00:00"/>
    <m/>
  </r>
  <r>
    <x v="383"/>
    <n v="49"/>
    <s v="Male"/>
    <x v="0"/>
    <s v="Specialist"/>
    <s v="John Carter"/>
    <x v="382"/>
    <n v="25"/>
    <n v="7"/>
    <n v="4"/>
    <n v="10"/>
    <d v="2021-02-22T00:00:00"/>
    <m/>
  </r>
  <r>
    <x v="384"/>
    <n v="42"/>
    <s v="Female"/>
    <x v="1"/>
    <s v="Manager"/>
    <s v="Fatima Noor"/>
    <x v="383"/>
    <n v="11"/>
    <n v="57"/>
    <n v="1"/>
    <n v="2"/>
    <d v="2017-04-04T00:00:00"/>
    <m/>
  </r>
  <r>
    <x v="385"/>
    <n v="54"/>
    <s v="Male"/>
    <x v="1"/>
    <s v="Manager"/>
    <s v="David Miller"/>
    <x v="384"/>
    <n v="25"/>
    <n v="2"/>
    <n v="5"/>
    <n v="2"/>
    <d v="2015-04-16T00:00:00"/>
    <m/>
  </r>
  <r>
    <x v="386"/>
    <n v="21"/>
    <s v="Male"/>
    <x v="5"/>
    <s v="Senior Analyst"/>
    <s v="Omar Khalid"/>
    <x v="385"/>
    <n v="7"/>
    <n v="35"/>
    <n v="4"/>
    <n v="10"/>
    <d v="2023-11-17T00:00:00"/>
    <d v="2021-04-07T00:00:00"/>
  </r>
  <r>
    <x v="387"/>
    <n v="36"/>
    <s v="Female"/>
    <x v="1"/>
    <s v="Specialist"/>
    <s v="Sarah Lee"/>
    <x v="386"/>
    <n v="11"/>
    <n v="13"/>
    <m/>
    <n v="4"/>
    <d v="2019-04-26T00:00:00"/>
    <m/>
  </r>
  <r>
    <x v="388"/>
    <n v="39"/>
    <s v="Female"/>
    <x v="3"/>
    <s v="Specialist"/>
    <s v="Emily Brown"/>
    <x v="387"/>
    <n v="13"/>
    <n v="22"/>
    <n v="5"/>
    <n v="4"/>
    <d v="2023-03-08T00:00:00"/>
    <d v="2018-10-28T00:00:00"/>
  </r>
  <r>
    <x v="389"/>
    <n v="46"/>
    <s v="Male"/>
    <x v="2"/>
    <s v="Senior Analyst"/>
    <s v="David Miller"/>
    <x v="388"/>
    <n v="3"/>
    <n v="44"/>
    <n v="1"/>
    <n v="4"/>
    <d v="2016-06-05T00:00:00"/>
    <d v="2019-05-23T00:00:00"/>
  </r>
  <r>
    <x v="390"/>
    <n v="26"/>
    <s v="Female"/>
    <x v="1"/>
    <s v="Specialist"/>
    <s v="Emily Brown"/>
    <x v="389"/>
    <n v="15"/>
    <n v="27"/>
    <n v="3"/>
    <n v="2"/>
    <d v="2015-10-03T00:00:00"/>
    <m/>
  </r>
  <r>
    <x v="391"/>
    <n v="48"/>
    <s v="Male"/>
    <x v="1"/>
    <s v="Specialist"/>
    <s v="David Miller"/>
    <x v="390"/>
    <n v="5"/>
    <n v="37"/>
    <n v="5"/>
    <n v="4"/>
    <d v="2016-09-09T00:00:00"/>
    <m/>
  </r>
  <r>
    <x v="392"/>
    <n v="22"/>
    <s v="Male"/>
    <x v="2"/>
    <s v="Senior Analyst"/>
    <s v="John Carter"/>
    <x v="391"/>
    <n v="30"/>
    <n v="18"/>
    <n v="3"/>
    <n v="10"/>
    <d v="2024-06-26T00:00:00"/>
    <d v="2023-01-12T00:00:00"/>
  </r>
  <r>
    <x v="393"/>
    <n v="27"/>
    <s v="Male"/>
    <x v="5"/>
    <s v="Specialist"/>
    <s v="David Miller"/>
    <x v="392"/>
    <n v="26"/>
    <n v="9"/>
    <n v="5"/>
    <n v="2"/>
    <d v="2018-06-11T00:00:00"/>
    <m/>
  </r>
  <r>
    <x v="394"/>
    <n v="27"/>
    <s v="Female"/>
    <x v="3"/>
    <s v="Analyst"/>
    <s v="Fatima Noor"/>
    <x v="393"/>
    <n v="21"/>
    <n v="59"/>
    <m/>
    <n v="2"/>
    <d v="2017-04-11T00:00:00"/>
    <d v="2020-03-12T00:00:00"/>
  </r>
  <r>
    <x v="395"/>
    <n v="50"/>
    <s v="Female"/>
    <x v="0"/>
    <s v="Manager"/>
    <s v="Fatima Noor"/>
    <x v="394"/>
    <n v="22"/>
    <n v="21"/>
    <n v="1"/>
    <n v="10"/>
    <d v="2016-02-13T00:00:00"/>
    <d v="2022-04-17T00:00:00"/>
  </r>
  <r>
    <x v="396"/>
    <n v="40"/>
    <s v="Female"/>
    <x v="2"/>
    <s v="Analyst"/>
    <s v="Fatima Noor"/>
    <x v="395"/>
    <n v="1"/>
    <n v="10"/>
    <n v="4"/>
    <n v="4"/>
    <d v="2021-12-13T00:00:00"/>
    <m/>
  </r>
  <r>
    <x v="397"/>
    <n v="52"/>
    <s v="Female"/>
    <x v="0"/>
    <s v="Analyst"/>
    <s v="Fatima Noor"/>
    <x v="396"/>
    <n v="24"/>
    <n v="5"/>
    <n v="4"/>
    <n v="9"/>
    <d v="2015-12-06T00:00:00"/>
    <d v="2018-01-26T00:00:00"/>
  </r>
  <r>
    <x v="398"/>
    <n v="49"/>
    <s v="Female"/>
    <x v="0"/>
    <s v="Senior Analyst"/>
    <s v="Fatima Noor"/>
    <x v="397"/>
    <n v="16"/>
    <n v="15"/>
    <n v="3"/>
    <n v="5"/>
    <d v="2020-05-12T00:00:00"/>
    <d v="2021-08-05T00:00:00"/>
  </r>
  <r>
    <x v="399"/>
    <n v="29"/>
    <s v="Male"/>
    <x v="0"/>
    <s v="Associate"/>
    <s v="David Miller"/>
    <x v="398"/>
    <n v="8"/>
    <n v="21"/>
    <n v="1"/>
    <n v="4"/>
    <d v="2020-06-18T00:00:00"/>
    <m/>
  </r>
  <r>
    <x v="400"/>
    <n v="44"/>
    <s v="Female"/>
    <x v="0"/>
    <s v="Specialist"/>
    <s v="Emily Brown"/>
    <x v="399"/>
    <n v="4"/>
    <n v="40"/>
    <n v="4"/>
    <n v="4"/>
    <d v="2016-07-13T00:00:00"/>
    <d v="2016-08-15T00:00:00"/>
  </r>
  <r>
    <x v="401"/>
    <n v="28"/>
    <s v="Male"/>
    <x v="0"/>
    <s v="Manager"/>
    <s v="David Miller"/>
    <x v="400"/>
    <n v="12"/>
    <n v="3"/>
    <n v="3"/>
    <n v="4"/>
    <d v="2019-11-15T00:00:00"/>
    <m/>
  </r>
  <r>
    <x v="402"/>
    <n v="32"/>
    <s v="Male"/>
    <x v="2"/>
    <s v="Specialist"/>
    <s v="David Miller"/>
    <x v="401"/>
    <n v="11"/>
    <n v="51"/>
    <m/>
    <n v="8"/>
    <d v="2020-10-14T00:00:00"/>
    <m/>
  </r>
  <r>
    <x v="403"/>
    <n v="58"/>
    <s v="Female"/>
    <x v="3"/>
    <s v="Manager"/>
    <s v="Emily Brown"/>
    <x v="402"/>
    <n v="3"/>
    <n v="32"/>
    <n v="3"/>
    <n v="10"/>
    <d v="2017-10-13T00:00:00"/>
    <m/>
  </r>
  <r>
    <x v="404"/>
    <n v="58"/>
    <s v="Female"/>
    <x v="5"/>
    <s v="Associate"/>
    <s v="Fatima Noor"/>
    <x v="403"/>
    <n v="8"/>
    <n v="43"/>
    <n v="4"/>
    <n v="4"/>
    <d v="2022-09-03T00:00:00"/>
    <d v="2016-09-14T00:00:00"/>
  </r>
  <r>
    <x v="405"/>
    <n v="45"/>
    <s v="Male"/>
    <x v="1"/>
    <s v="Senior Analyst"/>
    <s v="Ahmad Hassan"/>
    <x v="404"/>
    <n v="3"/>
    <n v="11"/>
    <n v="4"/>
    <n v="7"/>
    <d v="2021-10-28T00:00:00"/>
    <m/>
  </r>
  <r>
    <x v="406"/>
    <n v="56"/>
    <s v="Male"/>
    <x v="3"/>
    <s v="Senior Analyst"/>
    <s v="Ahmad Hassan"/>
    <x v="405"/>
    <n v="7"/>
    <n v="2"/>
    <n v="1"/>
    <n v="4"/>
    <d v="2017-08-23T00:00:00"/>
    <m/>
  </r>
  <r>
    <x v="407"/>
    <n v="55"/>
    <s v="Male"/>
    <x v="5"/>
    <s v="Senior Analyst"/>
    <s v="Ahmad Hassan"/>
    <x v="406"/>
    <n v="8"/>
    <n v="51"/>
    <n v="4"/>
    <n v="6"/>
    <d v="2017-02-07T00:00:00"/>
    <m/>
  </r>
  <r>
    <x v="408"/>
    <n v="42"/>
    <s v="Male"/>
    <x v="2"/>
    <s v="Analyst"/>
    <s v="David Miller"/>
    <x v="407"/>
    <n v="1"/>
    <n v="2"/>
    <n v="1"/>
    <n v="5"/>
    <d v="2017-07-01T00:00:00"/>
    <m/>
  </r>
  <r>
    <x v="409"/>
    <n v="53"/>
    <s v="Female"/>
    <x v="4"/>
    <s v="Analyst"/>
    <s v="Fatima Noor"/>
    <x v="408"/>
    <n v="30"/>
    <n v="52"/>
    <n v="5"/>
    <n v="4"/>
    <d v="2015-02-26T00:00:00"/>
    <m/>
  </r>
  <r>
    <x v="410"/>
    <n v="43"/>
    <s v="Female"/>
    <x v="0"/>
    <s v="Specialist"/>
    <s v="Fatima Noor"/>
    <x v="409"/>
    <n v="23"/>
    <n v="59"/>
    <n v="1"/>
    <n v="5"/>
    <d v="2022-02-02T00:00:00"/>
    <m/>
  </r>
  <r>
    <x v="411"/>
    <n v="21"/>
    <s v="Male"/>
    <x v="5"/>
    <s v="Analyst"/>
    <s v="Ahmad Hassan"/>
    <x v="410"/>
    <n v="17"/>
    <n v="2"/>
    <n v="5"/>
    <n v="5"/>
    <d v="2024-03-15T00:00:00"/>
    <m/>
  </r>
  <r>
    <x v="412"/>
    <n v="22"/>
    <s v="Male"/>
    <x v="0"/>
    <s v="Specialist"/>
    <s v="David Miller"/>
    <x v="411"/>
    <n v="9"/>
    <n v="12"/>
    <n v="4"/>
    <n v="3"/>
    <d v="2019-11-14T00:00:00"/>
    <m/>
  </r>
  <r>
    <x v="413"/>
    <n v="54"/>
    <s v="Male"/>
    <x v="3"/>
    <s v="Manager"/>
    <s v="David Miller"/>
    <x v="412"/>
    <n v="28"/>
    <n v="43"/>
    <n v="3"/>
    <n v="6"/>
    <d v="2020-10-21T00:00:00"/>
    <m/>
  </r>
  <r>
    <x v="414"/>
    <n v="46"/>
    <s v="Male"/>
    <x v="5"/>
    <s v="Analyst"/>
    <s v="Omar Khalid"/>
    <x v="413"/>
    <n v="1"/>
    <n v="26"/>
    <n v="3"/>
    <n v="2"/>
    <d v="2017-08-08T00:00:00"/>
    <d v="2021-01-06T00:00:00"/>
  </r>
  <r>
    <x v="415"/>
    <n v="32"/>
    <s v="Female"/>
    <x v="5"/>
    <s v="Senior Analyst"/>
    <s v="Fatima Noor"/>
    <x v="414"/>
    <n v="5"/>
    <n v="14"/>
    <n v="4"/>
    <n v="7"/>
    <d v="2022-10-19T00:00:00"/>
    <m/>
  </r>
  <r>
    <x v="416"/>
    <n v="33"/>
    <s v="Male"/>
    <x v="5"/>
    <s v="Associate"/>
    <s v="David Miller"/>
    <x v="415"/>
    <n v="27"/>
    <n v="24"/>
    <m/>
    <n v="8"/>
    <d v="2023-08-08T00:00:00"/>
    <m/>
  </r>
  <r>
    <x v="417"/>
    <n v="23"/>
    <s v="Female"/>
    <x v="0"/>
    <s v="Analyst"/>
    <s v="Sarah Lee"/>
    <x v="416"/>
    <n v="4"/>
    <n v="58"/>
    <n v="3"/>
    <n v="3"/>
    <d v="2016-06-04T00:00:00"/>
    <m/>
  </r>
  <r>
    <x v="418"/>
    <n v="39"/>
    <s v="Male"/>
    <x v="5"/>
    <s v="Specialist"/>
    <s v="Ahmad Hassan"/>
    <x v="417"/>
    <n v="9"/>
    <n v="49"/>
    <n v="5"/>
    <n v="3"/>
    <d v="2022-06-25T00:00:00"/>
    <m/>
  </r>
  <r>
    <x v="419"/>
    <n v="25"/>
    <s v="Male"/>
    <x v="3"/>
    <s v="Senior Analyst"/>
    <s v="David Miller"/>
    <x v="418"/>
    <n v="7"/>
    <n v="18"/>
    <n v="4"/>
    <n v="5"/>
    <d v="2016-12-21T00:00:00"/>
    <d v="2020-04-06T00:00:00"/>
  </r>
  <r>
    <x v="420"/>
    <n v="34"/>
    <s v="Female"/>
    <x v="3"/>
    <s v="Associate"/>
    <s v="Emily Brown"/>
    <x v="419"/>
    <n v="0"/>
    <n v="38"/>
    <n v="5"/>
    <n v="8"/>
    <d v="2016-10-06T00:00:00"/>
    <d v="2021-05-21T00:00:00"/>
  </r>
  <r>
    <x v="421"/>
    <n v="53"/>
    <s v="Female"/>
    <x v="4"/>
    <s v="Specialist"/>
    <s v="Sarah Lee"/>
    <x v="420"/>
    <n v="15"/>
    <n v="2"/>
    <n v="5"/>
    <n v="10"/>
    <d v="2023-06-15T00:00:00"/>
    <d v="2023-02-11T00:00:00"/>
  </r>
  <r>
    <x v="422"/>
    <n v="22"/>
    <s v="Male"/>
    <x v="2"/>
    <s v="Associate"/>
    <s v="Ahmad Hassan"/>
    <x v="421"/>
    <n v="4"/>
    <n v="57"/>
    <n v="3"/>
    <n v="5"/>
    <d v="2017-12-08T00:00:00"/>
    <m/>
  </r>
  <r>
    <x v="423"/>
    <n v="51"/>
    <s v="Female"/>
    <x v="2"/>
    <s v="Manager"/>
    <s v="Sarah Lee"/>
    <x v="422"/>
    <n v="13"/>
    <n v="60"/>
    <n v="5"/>
    <n v="1"/>
    <d v="2015-04-16T00:00:00"/>
    <d v="2017-06-15T00:00:00"/>
  </r>
  <r>
    <x v="424"/>
    <n v="46"/>
    <s v="Female"/>
    <x v="0"/>
    <s v="Associate"/>
    <s v="Sarah Lee"/>
    <x v="423"/>
    <n v="7"/>
    <n v="45"/>
    <n v="3"/>
    <n v="6"/>
    <d v="2018-11-21T00:00:00"/>
    <m/>
  </r>
  <r>
    <x v="425"/>
    <n v="29"/>
    <s v="Male"/>
    <x v="3"/>
    <s v="Associate"/>
    <s v="John Carter"/>
    <x v="424"/>
    <n v="23"/>
    <n v="20"/>
    <n v="1"/>
    <n v="8"/>
    <d v="2016-05-21T00:00:00"/>
    <m/>
  </r>
  <r>
    <x v="426"/>
    <n v="42"/>
    <s v="Male"/>
    <x v="2"/>
    <s v="Specialist"/>
    <s v="Ahmad Hassan"/>
    <x v="425"/>
    <n v="1"/>
    <n v="58"/>
    <n v="3"/>
    <n v="8"/>
    <d v="2015-08-10T00:00:00"/>
    <m/>
  </r>
  <r>
    <x v="427"/>
    <n v="38"/>
    <s v="Male"/>
    <x v="3"/>
    <s v="Specialist"/>
    <s v="Ahmad Hassan"/>
    <x v="426"/>
    <n v="1"/>
    <n v="57"/>
    <m/>
    <n v="10"/>
    <d v="2019-07-14T00:00:00"/>
    <m/>
  </r>
  <r>
    <x v="428"/>
    <n v="25"/>
    <s v="Male"/>
    <x v="5"/>
    <s v="Specialist"/>
    <s v="Ahmad Hassan"/>
    <x v="427"/>
    <n v="2"/>
    <n v="38"/>
    <n v="4"/>
    <n v="8"/>
    <d v="2020-08-12T00:00:00"/>
    <m/>
  </r>
  <r>
    <x v="429"/>
    <n v="53"/>
    <s v="Male"/>
    <x v="4"/>
    <s v="Specialist"/>
    <s v="Omar Khalid"/>
    <x v="428"/>
    <n v="26"/>
    <n v="37"/>
    <n v="2"/>
    <n v="3"/>
    <d v="2017-11-26T00:00:00"/>
    <m/>
  </r>
  <r>
    <x v="430"/>
    <n v="42"/>
    <s v="Female"/>
    <x v="4"/>
    <s v="Manager"/>
    <s v="Fatima Noor"/>
    <x v="429"/>
    <n v="19"/>
    <n v="31"/>
    <n v="1"/>
    <n v="3"/>
    <d v="2016-07-02T00:00:00"/>
    <m/>
  </r>
  <r>
    <x v="431"/>
    <n v="40"/>
    <s v="Male"/>
    <x v="2"/>
    <s v="Specialist"/>
    <s v="Ahmad Hassan"/>
    <x v="430"/>
    <n v="0"/>
    <n v="14"/>
    <n v="4"/>
    <n v="6"/>
    <d v="2019-02-04T00:00:00"/>
    <m/>
  </r>
  <r>
    <x v="432"/>
    <n v="55"/>
    <s v="Male"/>
    <x v="0"/>
    <s v="Associate"/>
    <s v="David Miller"/>
    <x v="431"/>
    <n v="6"/>
    <n v="21"/>
    <m/>
    <n v="2"/>
    <d v="2020-06-27T00:00:00"/>
    <m/>
  </r>
  <r>
    <x v="433"/>
    <n v="27"/>
    <s v="Female"/>
    <x v="4"/>
    <s v="Manager"/>
    <s v="Sarah Lee"/>
    <x v="432"/>
    <n v="6"/>
    <n v="27"/>
    <n v="3"/>
    <n v="6"/>
    <d v="2017-11-15T00:00:00"/>
    <m/>
  </r>
  <r>
    <x v="434"/>
    <n v="36"/>
    <s v="Female"/>
    <x v="5"/>
    <s v="Associate"/>
    <s v="Sarah Lee"/>
    <x v="433"/>
    <n v="1"/>
    <n v="22"/>
    <m/>
    <n v="7"/>
    <d v="2017-08-21T00:00:00"/>
    <m/>
  </r>
  <r>
    <x v="435"/>
    <n v="52"/>
    <s v="Female"/>
    <x v="2"/>
    <s v="Specialist"/>
    <s v="Fatima Noor"/>
    <x v="434"/>
    <n v="14"/>
    <n v="9"/>
    <n v="2"/>
    <n v="4"/>
    <d v="2019-07-07T00:00:00"/>
    <m/>
  </r>
  <r>
    <x v="436"/>
    <n v="38"/>
    <s v="Male"/>
    <x v="5"/>
    <s v="Specialist"/>
    <s v="Ahmad Hassan"/>
    <x v="435"/>
    <n v="19"/>
    <n v="24"/>
    <n v="1"/>
    <n v="10"/>
    <d v="2023-10-15T00:00:00"/>
    <m/>
  </r>
  <r>
    <x v="437"/>
    <n v="41"/>
    <s v="Male"/>
    <x v="0"/>
    <s v="Senior Analyst"/>
    <s v="John Carter"/>
    <x v="436"/>
    <n v="10"/>
    <n v="26"/>
    <m/>
    <n v="9"/>
    <d v="2019-02-06T00:00:00"/>
    <m/>
  </r>
  <r>
    <x v="438"/>
    <n v="33"/>
    <s v="Male"/>
    <x v="4"/>
    <s v="Analyst"/>
    <s v="David Miller"/>
    <x v="437"/>
    <n v="25"/>
    <n v="57"/>
    <n v="2"/>
    <n v="2"/>
    <d v="2018-01-11T00:00:00"/>
    <d v="2019-10-06T00:00:00"/>
  </r>
  <r>
    <x v="439"/>
    <n v="35"/>
    <s v="Male"/>
    <x v="5"/>
    <s v="Analyst"/>
    <s v="Ahmad Hassan"/>
    <x v="438"/>
    <n v="2"/>
    <n v="31"/>
    <n v="4"/>
    <n v="7"/>
    <d v="2023-08-21T00:00:00"/>
    <m/>
  </r>
  <r>
    <x v="440"/>
    <n v="59"/>
    <s v="Male"/>
    <x v="4"/>
    <s v="Associate"/>
    <s v="John Carter"/>
    <x v="439"/>
    <n v="26"/>
    <n v="30"/>
    <n v="3"/>
    <n v="3"/>
    <d v="2023-11-20T00:00:00"/>
    <m/>
  </r>
  <r>
    <x v="441"/>
    <n v="54"/>
    <s v="Male"/>
    <x v="4"/>
    <s v="Manager"/>
    <s v="John Carter"/>
    <x v="440"/>
    <n v="18"/>
    <n v="2"/>
    <n v="5"/>
    <n v="4"/>
    <d v="2024-10-15T00:00:00"/>
    <d v="2023-12-20T00:00:00"/>
  </r>
  <r>
    <x v="442"/>
    <n v="32"/>
    <s v="Male"/>
    <x v="1"/>
    <s v="Analyst"/>
    <s v="David Miller"/>
    <x v="441"/>
    <n v="10"/>
    <n v="33"/>
    <n v="1"/>
    <n v="9"/>
    <d v="2019-01-20T00:00:00"/>
    <d v="2016-03-25T00:00:00"/>
  </r>
  <r>
    <x v="443"/>
    <n v="24"/>
    <s v="Male"/>
    <x v="0"/>
    <s v="Specialist"/>
    <s v="Omar Khalid"/>
    <x v="442"/>
    <n v="7"/>
    <n v="2"/>
    <n v="3"/>
    <n v="9"/>
    <d v="2015-07-12T00:00:00"/>
    <d v="2021-05-19T00:00:00"/>
  </r>
  <r>
    <x v="444"/>
    <n v="52"/>
    <s v="Male"/>
    <x v="1"/>
    <s v="Senior Analyst"/>
    <s v="David Miller"/>
    <x v="443"/>
    <n v="24"/>
    <n v="18"/>
    <m/>
    <n v="1"/>
    <d v="2017-12-04T00:00:00"/>
    <m/>
  </r>
  <r>
    <x v="445"/>
    <n v="40"/>
    <s v="Male"/>
    <x v="4"/>
    <s v="Analyst"/>
    <s v="John Carter"/>
    <x v="444"/>
    <n v="15"/>
    <n v="37"/>
    <n v="3"/>
    <n v="10"/>
    <d v="2023-08-21T00:00:00"/>
    <m/>
  </r>
  <r>
    <x v="446"/>
    <n v="42"/>
    <s v="Male"/>
    <x v="0"/>
    <s v="Analyst"/>
    <s v="Ahmad Hassan"/>
    <x v="445"/>
    <n v="25"/>
    <n v="15"/>
    <n v="2"/>
    <n v="6"/>
    <d v="2015-05-07T00:00:00"/>
    <d v="2021-04-03T00:00:00"/>
  </r>
  <r>
    <x v="447"/>
    <n v="40"/>
    <s v="Female"/>
    <x v="5"/>
    <s v="Specialist"/>
    <s v="Sarah Lee"/>
    <x v="446"/>
    <n v="5"/>
    <n v="59"/>
    <m/>
    <n v="1"/>
    <d v="2024-01-23T00:00:00"/>
    <m/>
  </r>
  <r>
    <x v="448"/>
    <n v="45"/>
    <s v="Male"/>
    <x v="4"/>
    <s v="Manager"/>
    <s v="Ahmad Hassan"/>
    <x v="447"/>
    <n v="22"/>
    <n v="14"/>
    <m/>
    <n v="3"/>
    <d v="2023-03-12T00:00:00"/>
    <m/>
  </r>
  <r>
    <x v="449"/>
    <n v="34"/>
    <s v="Male"/>
    <x v="5"/>
    <s v="Specialist"/>
    <s v="Ahmad Hassan"/>
    <x v="448"/>
    <n v="30"/>
    <n v="26"/>
    <n v="5"/>
    <n v="5"/>
    <d v="2016-01-17T00:00:00"/>
    <m/>
  </r>
  <r>
    <x v="450"/>
    <n v="36"/>
    <s v="Female"/>
    <x v="2"/>
    <s v="Senior Analyst"/>
    <s v="Fatima Noor"/>
    <x v="449"/>
    <n v="4"/>
    <n v="31"/>
    <n v="4"/>
    <n v="4"/>
    <d v="2019-01-12T00:00:00"/>
    <m/>
  </r>
  <r>
    <x v="451"/>
    <n v="27"/>
    <s v="Male"/>
    <x v="0"/>
    <s v="Manager"/>
    <s v="Ahmad Hassan"/>
    <x v="450"/>
    <n v="8"/>
    <n v="35"/>
    <n v="2"/>
    <n v="4"/>
    <d v="2024-12-11T00:00:00"/>
    <m/>
  </r>
  <r>
    <x v="452"/>
    <n v="38"/>
    <s v="Male"/>
    <x v="5"/>
    <s v="Senior Analyst"/>
    <s v="John Carter"/>
    <x v="451"/>
    <n v="28"/>
    <n v="30"/>
    <m/>
    <n v="1"/>
    <d v="2020-12-20T00:00:00"/>
    <m/>
  </r>
  <r>
    <x v="453"/>
    <n v="25"/>
    <s v="Female"/>
    <x v="5"/>
    <s v="Associate"/>
    <s v="Emily Brown"/>
    <x v="452"/>
    <n v="21"/>
    <n v="40"/>
    <n v="4"/>
    <n v="7"/>
    <d v="2015-04-14T00:00:00"/>
    <m/>
  </r>
  <r>
    <x v="454"/>
    <n v="23"/>
    <s v="Female"/>
    <x v="4"/>
    <s v="Analyst"/>
    <s v="Sarah Lee"/>
    <x v="453"/>
    <n v="30"/>
    <n v="44"/>
    <m/>
    <n v="7"/>
    <d v="2016-09-05T00:00:00"/>
    <m/>
  </r>
  <r>
    <x v="455"/>
    <n v="43"/>
    <s v="Male"/>
    <x v="1"/>
    <s v="Senior Analyst"/>
    <s v="David Miller"/>
    <x v="454"/>
    <n v="4"/>
    <n v="49"/>
    <n v="3"/>
    <n v="3"/>
    <d v="2022-12-07T00:00:00"/>
    <d v="2018-07-14T00:00:00"/>
  </r>
  <r>
    <x v="456"/>
    <n v="34"/>
    <s v="Male"/>
    <x v="5"/>
    <s v="Analyst"/>
    <s v="Ahmad Hassan"/>
    <x v="455"/>
    <n v="22"/>
    <n v="31"/>
    <n v="3"/>
    <n v="1"/>
    <d v="2018-11-26T00:00:00"/>
    <d v="2023-02-23T00:00:00"/>
  </r>
  <r>
    <x v="457"/>
    <n v="51"/>
    <s v="Male"/>
    <x v="5"/>
    <s v="Specialist"/>
    <s v="Omar Khalid"/>
    <x v="456"/>
    <n v="15"/>
    <n v="15"/>
    <n v="4"/>
    <n v="10"/>
    <d v="2023-05-01T00:00:00"/>
    <d v="2023-01-03T00:00:00"/>
  </r>
  <r>
    <x v="458"/>
    <n v="49"/>
    <s v="Male"/>
    <x v="2"/>
    <s v="Senior Analyst"/>
    <s v="Ahmad Hassan"/>
    <x v="457"/>
    <n v="17"/>
    <n v="21"/>
    <n v="5"/>
    <n v="6"/>
    <d v="2018-03-09T00:00:00"/>
    <m/>
  </r>
  <r>
    <x v="459"/>
    <n v="54"/>
    <s v="Male"/>
    <x v="2"/>
    <s v="Specialist"/>
    <s v="Ahmad Hassan"/>
    <x v="458"/>
    <n v="7"/>
    <n v="34"/>
    <n v="3"/>
    <n v="10"/>
    <d v="2020-12-25T00:00:00"/>
    <d v="2022-06-17T00:00:00"/>
  </r>
  <r>
    <x v="460"/>
    <n v="33"/>
    <s v="Female"/>
    <x v="0"/>
    <s v="Analyst"/>
    <s v="Emily Brown"/>
    <x v="459"/>
    <n v="13"/>
    <n v="2"/>
    <n v="1"/>
    <n v="1"/>
    <d v="2023-02-17T00:00:00"/>
    <m/>
  </r>
  <r>
    <x v="461"/>
    <n v="57"/>
    <s v="Male"/>
    <x v="5"/>
    <s v="Manager"/>
    <s v="Omar Khalid"/>
    <x v="460"/>
    <n v="15"/>
    <n v="4"/>
    <n v="5"/>
    <n v="9"/>
    <d v="2019-07-22T00:00:00"/>
    <m/>
  </r>
  <r>
    <x v="462"/>
    <n v="52"/>
    <s v="Female"/>
    <x v="1"/>
    <s v="Associate"/>
    <s v="Fatima Noor"/>
    <x v="461"/>
    <n v="0"/>
    <n v="39"/>
    <n v="5"/>
    <n v="8"/>
    <d v="2017-11-04T00:00:00"/>
    <m/>
  </r>
  <r>
    <x v="463"/>
    <n v="50"/>
    <s v="Male"/>
    <x v="5"/>
    <s v="Specialist"/>
    <s v="Omar Khalid"/>
    <x v="462"/>
    <n v="7"/>
    <n v="11"/>
    <n v="1"/>
    <n v="7"/>
    <d v="2024-05-13T00:00:00"/>
    <d v="2022-03-26T00:00:00"/>
  </r>
  <r>
    <x v="464"/>
    <n v="34"/>
    <s v="Female"/>
    <x v="1"/>
    <s v="Associate"/>
    <s v="Emily Brown"/>
    <x v="463"/>
    <n v="3"/>
    <n v="2"/>
    <n v="5"/>
    <n v="10"/>
    <d v="2018-02-05T00:00:00"/>
    <m/>
  </r>
  <r>
    <x v="465"/>
    <n v="49"/>
    <s v="Male"/>
    <x v="0"/>
    <s v="Analyst"/>
    <s v="David Miller"/>
    <x v="464"/>
    <n v="4"/>
    <n v="0"/>
    <n v="2"/>
    <n v="7"/>
    <d v="2024-09-22T00:00:00"/>
    <d v="2017-09-07T00:00:00"/>
  </r>
  <r>
    <x v="466"/>
    <n v="30"/>
    <s v="Male"/>
    <x v="2"/>
    <s v="Specialist"/>
    <s v="Omar Khalid"/>
    <x v="465"/>
    <n v="14"/>
    <n v="46"/>
    <m/>
    <n v="2"/>
    <d v="2021-12-18T00:00:00"/>
    <m/>
  </r>
  <r>
    <x v="467"/>
    <n v="24"/>
    <s v="Female"/>
    <x v="3"/>
    <s v="Specialist"/>
    <s v="Sarah Lee"/>
    <x v="466"/>
    <n v="6"/>
    <n v="18"/>
    <n v="4"/>
    <n v="8"/>
    <d v="2016-05-17T00:00:00"/>
    <m/>
  </r>
  <r>
    <x v="468"/>
    <n v="53"/>
    <s v="Male"/>
    <x v="3"/>
    <s v="Analyst"/>
    <s v="Omar Khalid"/>
    <x v="467"/>
    <n v="10"/>
    <n v="55"/>
    <n v="2"/>
    <n v="8"/>
    <d v="2015-08-14T00:00:00"/>
    <m/>
  </r>
  <r>
    <x v="469"/>
    <n v="31"/>
    <s v="Female"/>
    <x v="5"/>
    <s v="Specialist"/>
    <s v="Fatima Noor"/>
    <x v="468"/>
    <n v="3"/>
    <n v="22"/>
    <m/>
    <n v="6"/>
    <d v="2024-07-13T00:00:00"/>
    <m/>
  </r>
  <r>
    <x v="470"/>
    <n v="57"/>
    <s v="Male"/>
    <x v="3"/>
    <s v="Manager"/>
    <s v="John Carter"/>
    <x v="469"/>
    <n v="14"/>
    <n v="14"/>
    <n v="1"/>
    <n v="7"/>
    <d v="2024-06-17T00:00:00"/>
    <m/>
  </r>
  <r>
    <x v="471"/>
    <n v="34"/>
    <s v="Male"/>
    <x v="2"/>
    <s v="Senior Analyst"/>
    <s v="Ahmad Hassan"/>
    <x v="470"/>
    <n v="7"/>
    <n v="42"/>
    <n v="1"/>
    <n v="9"/>
    <d v="2023-04-01T00:00:00"/>
    <m/>
  </r>
  <r>
    <x v="472"/>
    <n v="36"/>
    <s v="Male"/>
    <x v="3"/>
    <s v="Specialist"/>
    <s v="Ahmad Hassan"/>
    <x v="471"/>
    <n v="15"/>
    <n v="19"/>
    <n v="2"/>
    <n v="1"/>
    <d v="2019-06-01T00:00:00"/>
    <m/>
  </r>
  <r>
    <x v="473"/>
    <n v="29"/>
    <s v="Female"/>
    <x v="2"/>
    <s v="Specialist"/>
    <s v="Sarah Lee"/>
    <x v="472"/>
    <n v="8"/>
    <n v="26"/>
    <n v="4"/>
    <n v="4"/>
    <d v="2020-04-07T00:00:00"/>
    <m/>
  </r>
  <r>
    <x v="474"/>
    <n v="32"/>
    <s v="Female"/>
    <x v="2"/>
    <s v="Manager"/>
    <s v="Fatima Noor"/>
    <x v="473"/>
    <n v="3"/>
    <n v="1"/>
    <n v="1"/>
    <n v="5"/>
    <d v="2018-07-18T00:00:00"/>
    <m/>
  </r>
  <r>
    <x v="475"/>
    <n v="50"/>
    <s v="Male"/>
    <x v="1"/>
    <s v="Manager"/>
    <s v="John Carter"/>
    <x v="474"/>
    <n v="11"/>
    <n v="20"/>
    <n v="1"/>
    <n v="7"/>
    <d v="2018-01-25T00:00:00"/>
    <d v="2021-11-15T00:00:00"/>
  </r>
  <r>
    <x v="476"/>
    <n v="21"/>
    <s v="Male"/>
    <x v="2"/>
    <s v="Manager"/>
    <s v="David Miller"/>
    <x v="475"/>
    <n v="3"/>
    <n v="40"/>
    <n v="2"/>
    <n v="4"/>
    <d v="2019-08-19T00:00:00"/>
    <m/>
  </r>
  <r>
    <x v="477"/>
    <n v="45"/>
    <s v="Female"/>
    <x v="4"/>
    <s v="Associate"/>
    <s v="Emily Brown"/>
    <x v="476"/>
    <n v="27"/>
    <n v="52"/>
    <m/>
    <n v="5"/>
    <d v="2024-09-10T00:00:00"/>
    <d v="2022-06-09T00:00:00"/>
  </r>
  <r>
    <x v="478"/>
    <n v="23"/>
    <s v="Female"/>
    <x v="2"/>
    <s v="Associate"/>
    <s v="Sarah Lee"/>
    <x v="477"/>
    <n v="19"/>
    <n v="30"/>
    <n v="5"/>
    <n v="1"/>
    <d v="2016-11-11T00:00:00"/>
    <m/>
  </r>
  <r>
    <x v="479"/>
    <n v="46"/>
    <s v="Female"/>
    <x v="2"/>
    <s v="Senior Analyst"/>
    <s v="Fatima Noor"/>
    <x v="478"/>
    <n v="16"/>
    <n v="8"/>
    <n v="3"/>
    <n v="4"/>
    <d v="2019-08-02T00:00:00"/>
    <m/>
  </r>
  <r>
    <x v="480"/>
    <n v="44"/>
    <s v="Male"/>
    <x v="4"/>
    <s v="Analyst"/>
    <s v="John Carter"/>
    <x v="479"/>
    <n v="8"/>
    <n v="28"/>
    <m/>
    <n v="8"/>
    <d v="2024-07-05T00:00:00"/>
    <m/>
  </r>
  <r>
    <x v="481"/>
    <n v="28"/>
    <s v="Female"/>
    <x v="2"/>
    <s v="Specialist"/>
    <s v="Fatima Noor"/>
    <x v="480"/>
    <n v="23"/>
    <n v="22"/>
    <n v="4"/>
    <n v="10"/>
    <d v="2017-07-13T00:00:00"/>
    <d v="2020-01-17T00:00:00"/>
  </r>
  <r>
    <x v="482"/>
    <n v="23"/>
    <s v="Male"/>
    <x v="1"/>
    <s v="Specialist"/>
    <s v="David Miller"/>
    <x v="481"/>
    <n v="5"/>
    <n v="30"/>
    <n v="4"/>
    <n v="5"/>
    <d v="2024-08-08T00:00:00"/>
    <m/>
  </r>
  <r>
    <x v="483"/>
    <n v="28"/>
    <s v="Male"/>
    <x v="1"/>
    <s v="Manager"/>
    <s v="David Miller"/>
    <x v="482"/>
    <n v="30"/>
    <n v="25"/>
    <n v="2"/>
    <n v="10"/>
    <d v="2021-06-09T00:00:00"/>
    <d v="2022-02-19T00:00:00"/>
  </r>
  <r>
    <x v="484"/>
    <n v="29"/>
    <s v="Female"/>
    <x v="2"/>
    <s v="Manager"/>
    <s v="Fatima Noor"/>
    <x v="483"/>
    <n v="15"/>
    <n v="24"/>
    <n v="3"/>
    <n v="4"/>
    <d v="2019-08-13T00:00:00"/>
    <d v="2022-05-06T00:00:00"/>
  </r>
  <r>
    <x v="485"/>
    <n v="27"/>
    <s v="Male"/>
    <x v="4"/>
    <s v="Associate"/>
    <s v="Omar Khalid"/>
    <x v="484"/>
    <n v="22"/>
    <n v="56"/>
    <n v="2"/>
    <n v="8"/>
    <d v="2018-11-23T00:00:00"/>
    <d v="2021-09-10T00:00:00"/>
  </r>
  <r>
    <x v="486"/>
    <n v="28"/>
    <s v="Female"/>
    <x v="0"/>
    <s v="Specialist"/>
    <s v="Sarah Lee"/>
    <x v="485"/>
    <n v="4"/>
    <n v="38"/>
    <n v="5"/>
    <n v="1"/>
    <d v="2018-01-23T00:00:00"/>
    <d v="2021-06-07T00:00:00"/>
  </r>
  <r>
    <x v="487"/>
    <n v="30"/>
    <s v="Male"/>
    <x v="5"/>
    <s v="Senior Analyst"/>
    <s v="Ahmad Hassan"/>
    <x v="486"/>
    <n v="30"/>
    <n v="37"/>
    <n v="5"/>
    <n v="9"/>
    <d v="2019-03-25T00:00:00"/>
    <d v="2023-03-22T00:00:00"/>
  </r>
  <r>
    <x v="488"/>
    <n v="48"/>
    <s v="Female"/>
    <x v="2"/>
    <s v="Manager"/>
    <s v="Emily Brown"/>
    <x v="487"/>
    <n v="18"/>
    <n v="5"/>
    <n v="5"/>
    <n v="9"/>
    <d v="2019-04-20T00:00:00"/>
    <m/>
  </r>
  <r>
    <x v="489"/>
    <n v="46"/>
    <s v="Male"/>
    <x v="0"/>
    <s v="Specialist"/>
    <s v="Omar Khalid"/>
    <x v="488"/>
    <n v="6"/>
    <n v="18"/>
    <n v="2"/>
    <n v="3"/>
    <d v="2023-09-04T00:00:00"/>
    <m/>
  </r>
  <r>
    <x v="490"/>
    <n v="49"/>
    <s v="Male"/>
    <x v="4"/>
    <s v="Manager"/>
    <s v="John Carter"/>
    <x v="489"/>
    <n v="0"/>
    <n v="49"/>
    <n v="4"/>
    <n v="7"/>
    <d v="2019-11-11T00:00:00"/>
    <m/>
  </r>
  <r>
    <x v="491"/>
    <n v="21"/>
    <s v="Male"/>
    <x v="3"/>
    <s v="Associate"/>
    <s v="John Carter"/>
    <x v="490"/>
    <n v="24"/>
    <n v="54"/>
    <n v="4"/>
    <n v="9"/>
    <d v="2024-07-24T00:00:00"/>
    <m/>
  </r>
  <r>
    <x v="492"/>
    <n v="27"/>
    <s v="Female"/>
    <x v="2"/>
    <s v="Senior Analyst"/>
    <s v="Sarah Lee"/>
    <x v="491"/>
    <n v="10"/>
    <n v="48"/>
    <n v="4"/>
    <n v="9"/>
    <d v="2015-01-03T00:00:00"/>
    <m/>
  </r>
  <r>
    <x v="493"/>
    <n v="36"/>
    <s v="Male"/>
    <x v="4"/>
    <s v="Associate"/>
    <s v="Omar Khalid"/>
    <x v="492"/>
    <n v="5"/>
    <n v="12"/>
    <n v="4"/>
    <n v="3"/>
    <d v="2015-08-28T00:00:00"/>
    <m/>
  </r>
  <r>
    <x v="494"/>
    <n v="32"/>
    <s v="Female"/>
    <x v="0"/>
    <s v="Manager"/>
    <s v="Sarah Lee"/>
    <x v="493"/>
    <n v="29"/>
    <n v="8"/>
    <n v="2"/>
    <n v="10"/>
    <d v="2019-01-25T00:00:00"/>
    <m/>
  </r>
  <r>
    <x v="495"/>
    <n v="58"/>
    <s v="Male"/>
    <x v="0"/>
    <s v="Senior Analyst"/>
    <s v="Ahmad Hassan"/>
    <x v="494"/>
    <n v="10"/>
    <n v="0"/>
    <n v="4"/>
    <n v="8"/>
    <d v="2024-07-09T00:00:00"/>
    <m/>
  </r>
  <r>
    <x v="496"/>
    <n v="60"/>
    <s v="Male"/>
    <x v="0"/>
    <s v="Senior Analyst"/>
    <s v="Omar Khalid"/>
    <x v="495"/>
    <n v="29"/>
    <n v="2"/>
    <n v="4"/>
    <n v="8"/>
    <d v="2017-01-17T00:00:00"/>
    <m/>
  </r>
  <r>
    <x v="497"/>
    <n v="38"/>
    <s v="Female"/>
    <x v="5"/>
    <s v="Specialist"/>
    <s v="Sarah Lee"/>
    <x v="496"/>
    <n v="20"/>
    <n v="7"/>
    <m/>
    <n v="7"/>
    <d v="2022-01-01T00:00:00"/>
    <m/>
  </r>
  <r>
    <x v="498"/>
    <n v="41"/>
    <s v="Male"/>
    <x v="2"/>
    <s v="Specialist"/>
    <s v="David Miller"/>
    <x v="497"/>
    <n v="1"/>
    <n v="47"/>
    <n v="3"/>
    <n v="4"/>
    <d v="2018-12-01T00:00:00"/>
    <m/>
  </r>
  <r>
    <x v="499"/>
    <n v="58"/>
    <s v="Male"/>
    <x v="4"/>
    <s v="Manager"/>
    <s v="David Miller"/>
    <x v="498"/>
    <n v="29"/>
    <n v="49"/>
    <m/>
    <n v="4"/>
    <d v="2019-09-24T00:00:00"/>
    <m/>
  </r>
  <r>
    <x v="500"/>
    <n v="23"/>
    <s v="Male"/>
    <x v="0"/>
    <s v="Specialist"/>
    <s v="Omar Khalid"/>
    <x v="499"/>
    <n v="0"/>
    <n v="29"/>
    <m/>
    <n v="10"/>
    <d v="2016-11-01T00:00:00"/>
    <m/>
  </r>
  <r>
    <x v="501"/>
    <n v="51"/>
    <s v="Female"/>
    <x v="5"/>
    <s v="Senior Analyst"/>
    <s v="Sarah Lee"/>
    <x v="500"/>
    <n v="4"/>
    <n v="18"/>
    <n v="5"/>
    <n v="10"/>
    <d v="2020-12-26T00:00:00"/>
    <m/>
  </r>
  <r>
    <x v="502"/>
    <n v="27"/>
    <s v="Female"/>
    <x v="1"/>
    <s v="Senior Analyst"/>
    <s v="Fatima Noor"/>
    <x v="501"/>
    <n v="28"/>
    <n v="36"/>
    <n v="1"/>
    <n v="1"/>
    <d v="2022-11-09T00:00:00"/>
    <m/>
  </r>
  <r>
    <x v="503"/>
    <n v="48"/>
    <s v="Male"/>
    <x v="4"/>
    <s v="Analyst"/>
    <s v="Ahmad Hassan"/>
    <x v="502"/>
    <n v="3"/>
    <n v="45"/>
    <n v="4"/>
    <n v="1"/>
    <d v="2016-03-04T00:00:00"/>
    <d v="2020-05-27T00:00:00"/>
  </r>
  <r>
    <x v="504"/>
    <n v="58"/>
    <s v="Female"/>
    <x v="4"/>
    <s v="Analyst"/>
    <s v="Sarah Lee"/>
    <x v="503"/>
    <n v="12"/>
    <n v="29"/>
    <n v="3"/>
    <n v="2"/>
    <d v="2022-05-08T00:00:00"/>
    <d v="2023-06-28T00:00:00"/>
  </r>
  <r>
    <x v="505"/>
    <n v="45"/>
    <s v="Male"/>
    <x v="5"/>
    <s v="Specialist"/>
    <s v="Omar Khalid"/>
    <x v="504"/>
    <n v="14"/>
    <n v="17"/>
    <n v="1"/>
    <n v="4"/>
    <d v="2016-06-25T00:00:00"/>
    <m/>
  </r>
  <r>
    <x v="506"/>
    <n v="47"/>
    <s v="Female"/>
    <x v="4"/>
    <s v="Analyst"/>
    <s v="Emily Brown"/>
    <x v="505"/>
    <n v="0"/>
    <n v="58"/>
    <n v="5"/>
    <n v="1"/>
    <d v="2018-09-24T00:00:00"/>
    <m/>
  </r>
  <r>
    <x v="507"/>
    <n v="50"/>
    <s v="Female"/>
    <x v="0"/>
    <s v="Senior Analyst"/>
    <s v="Sarah Lee"/>
    <x v="506"/>
    <n v="5"/>
    <n v="47"/>
    <n v="1"/>
    <n v="5"/>
    <d v="2018-10-16T00:00:00"/>
    <m/>
  </r>
  <r>
    <x v="508"/>
    <n v="31"/>
    <s v="Female"/>
    <x v="2"/>
    <s v="Analyst"/>
    <s v="Sarah Lee"/>
    <x v="507"/>
    <n v="4"/>
    <n v="52"/>
    <m/>
    <n v="10"/>
    <d v="2015-12-25T00:00:00"/>
    <d v="2022-03-23T00:00:00"/>
  </r>
  <r>
    <x v="509"/>
    <n v="59"/>
    <s v="Male"/>
    <x v="3"/>
    <s v="Specialist"/>
    <s v="Ahmad Hassan"/>
    <x v="508"/>
    <n v="24"/>
    <n v="47"/>
    <n v="1"/>
    <n v="7"/>
    <d v="2020-08-27T00:00:00"/>
    <m/>
  </r>
  <r>
    <x v="510"/>
    <n v="50"/>
    <s v="Male"/>
    <x v="2"/>
    <s v="Specialist"/>
    <s v="John Carter"/>
    <x v="509"/>
    <n v="14"/>
    <n v="3"/>
    <n v="5"/>
    <n v="4"/>
    <d v="2023-03-09T00:00:00"/>
    <m/>
  </r>
  <r>
    <x v="511"/>
    <n v="23"/>
    <s v="Male"/>
    <x v="3"/>
    <s v="Associate"/>
    <s v="Ahmad Hassan"/>
    <x v="510"/>
    <n v="22"/>
    <n v="53"/>
    <m/>
    <n v="8"/>
    <d v="2020-03-27T00:00:00"/>
    <m/>
  </r>
  <r>
    <x v="512"/>
    <n v="53"/>
    <s v="Female"/>
    <x v="2"/>
    <s v="Senior Analyst"/>
    <s v="Fatima Noor"/>
    <x v="511"/>
    <n v="27"/>
    <n v="60"/>
    <n v="5"/>
    <n v="2"/>
    <d v="2019-01-16T00:00:00"/>
    <m/>
  </r>
  <r>
    <x v="513"/>
    <n v="55"/>
    <s v="Male"/>
    <x v="0"/>
    <s v="Associate"/>
    <s v="Ahmad Hassan"/>
    <x v="512"/>
    <n v="8"/>
    <n v="27"/>
    <n v="4"/>
    <n v="4"/>
    <d v="2017-11-08T00:00:00"/>
    <m/>
  </r>
  <r>
    <x v="514"/>
    <n v="27"/>
    <s v="Female"/>
    <x v="0"/>
    <s v="Senior Analyst"/>
    <s v="Fatima Noor"/>
    <x v="513"/>
    <n v="9"/>
    <n v="55"/>
    <m/>
    <n v="6"/>
    <d v="2019-06-06T00:00:00"/>
    <m/>
  </r>
  <r>
    <x v="515"/>
    <n v="47"/>
    <s v="Female"/>
    <x v="5"/>
    <s v="Associate"/>
    <s v="Emily Brown"/>
    <x v="514"/>
    <n v="28"/>
    <n v="31"/>
    <n v="3"/>
    <n v="9"/>
    <d v="2017-01-02T00:00:00"/>
    <m/>
  </r>
  <r>
    <x v="516"/>
    <n v="45"/>
    <s v="Female"/>
    <x v="2"/>
    <s v="Associate"/>
    <s v="Emily Brown"/>
    <x v="515"/>
    <n v="7"/>
    <n v="51"/>
    <m/>
    <n v="2"/>
    <d v="2022-05-07T00:00:00"/>
    <m/>
  </r>
  <r>
    <x v="517"/>
    <n v="24"/>
    <s v="Female"/>
    <x v="4"/>
    <s v="Specialist"/>
    <s v="Sarah Lee"/>
    <x v="516"/>
    <n v="26"/>
    <n v="41"/>
    <n v="2"/>
    <n v="1"/>
    <d v="2023-05-27T00:00:00"/>
    <d v="2024-09-16T00:00:00"/>
  </r>
  <r>
    <x v="518"/>
    <n v="46"/>
    <s v="Male"/>
    <x v="0"/>
    <s v="Specialist"/>
    <s v="John Carter"/>
    <x v="517"/>
    <n v="17"/>
    <n v="1"/>
    <m/>
    <n v="9"/>
    <d v="2021-03-20T00:00:00"/>
    <m/>
  </r>
  <r>
    <x v="519"/>
    <n v="35"/>
    <s v="Female"/>
    <x v="0"/>
    <s v="Manager"/>
    <s v="Fatima Noor"/>
    <x v="518"/>
    <n v="3"/>
    <n v="1"/>
    <n v="4"/>
    <n v="9"/>
    <d v="2021-08-25T00:00:00"/>
    <m/>
  </r>
  <r>
    <x v="520"/>
    <n v="55"/>
    <s v="Male"/>
    <x v="3"/>
    <s v="Senior Analyst"/>
    <s v="David Miller"/>
    <x v="519"/>
    <n v="9"/>
    <n v="7"/>
    <n v="5"/>
    <n v="8"/>
    <d v="2021-02-16T00:00:00"/>
    <d v="2017-06-12T00:00:00"/>
  </r>
  <r>
    <x v="521"/>
    <n v="54"/>
    <s v="Male"/>
    <x v="1"/>
    <s v="Specialist"/>
    <s v="Omar Khalid"/>
    <x v="520"/>
    <n v="21"/>
    <n v="36"/>
    <n v="5"/>
    <n v="7"/>
    <d v="2021-02-02T00:00:00"/>
    <m/>
  </r>
  <r>
    <x v="522"/>
    <n v="24"/>
    <s v="Male"/>
    <x v="1"/>
    <s v="Senior Analyst"/>
    <s v="Ahmad Hassan"/>
    <x v="521"/>
    <n v="12"/>
    <n v="56"/>
    <n v="4"/>
    <n v="7"/>
    <d v="2020-12-09T00:00:00"/>
    <m/>
  </r>
  <r>
    <x v="523"/>
    <n v="22"/>
    <s v="Male"/>
    <x v="2"/>
    <s v="Manager"/>
    <s v="David Miller"/>
    <x v="522"/>
    <n v="5"/>
    <n v="44"/>
    <n v="2"/>
    <n v="6"/>
    <d v="2022-02-17T00:00:00"/>
    <m/>
  </r>
  <r>
    <x v="524"/>
    <n v="43"/>
    <s v="Male"/>
    <x v="5"/>
    <s v="Manager"/>
    <s v="Ahmad Hassan"/>
    <x v="523"/>
    <n v="9"/>
    <n v="7"/>
    <n v="5"/>
    <n v="7"/>
    <d v="2020-08-10T00:00:00"/>
    <d v="2016-08-02T00:00:00"/>
  </r>
  <r>
    <x v="525"/>
    <n v="37"/>
    <s v="Male"/>
    <x v="0"/>
    <s v="Specialist"/>
    <s v="David Miller"/>
    <x v="524"/>
    <n v="18"/>
    <n v="38"/>
    <n v="3"/>
    <n v="3"/>
    <d v="2021-06-14T00:00:00"/>
    <m/>
  </r>
  <r>
    <x v="526"/>
    <n v="46"/>
    <s v="Female"/>
    <x v="2"/>
    <s v="Senior Analyst"/>
    <s v="Fatima Noor"/>
    <x v="525"/>
    <n v="2"/>
    <n v="7"/>
    <m/>
    <n v="10"/>
    <d v="2017-08-15T00:00:00"/>
    <m/>
  </r>
  <r>
    <x v="527"/>
    <n v="29"/>
    <s v="Male"/>
    <x v="0"/>
    <s v="Associate"/>
    <s v="David Miller"/>
    <x v="526"/>
    <n v="1"/>
    <n v="20"/>
    <n v="1"/>
    <n v="5"/>
    <d v="2018-03-08T00:00:00"/>
    <m/>
  </r>
  <r>
    <x v="528"/>
    <n v="26"/>
    <s v="Female"/>
    <x v="2"/>
    <s v="Specialist"/>
    <s v="Fatima Noor"/>
    <x v="527"/>
    <n v="26"/>
    <n v="56"/>
    <n v="3"/>
    <n v="3"/>
    <d v="2019-03-18T00:00:00"/>
    <d v="2024-04-08T00:00:00"/>
  </r>
  <r>
    <x v="529"/>
    <n v="23"/>
    <s v="Female"/>
    <x v="5"/>
    <s v="Associate"/>
    <s v="Emily Brown"/>
    <x v="528"/>
    <n v="17"/>
    <n v="53"/>
    <n v="1"/>
    <n v="4"/>
    <d v="2020-02-11T00:00:00"/>
    <m/>
  </r>
  <r>
    <x v="530"/>
    <n v="23"/>
    <s v="Female"/>
    <x v="1"/>
    <s v="Analyst"/>
    <s v="Fatima Noor"/>
    <x v="529"/>
    <n v="15"/>
    <n v="34"/>
    <n v="5"/>
    <n v="7"/>
    <d v="2018-10-16T00:00:00"/>
    <d v="2018-02-06T00:00:00"/>
  </r>
  <r>
    <x v="531"/>
    <n v="52"/>
    <s v="Male"/>
    <x v="4"/>
    <s v="Manager"/>
    <s v="Omar Khalid"/>
    <x v="530"/>
    <n v="5"/>
    <n v="49"/>
    <n v="4"/>
    <n v="5"/>
    <d v="2019-10-09T00:00:00"/>
    <m/>
  </r>
  <r>
    <x v="532"/>
    <n v="25"/>
    <s v="Female"/>
    <x v="5"/>
    <s v="Senior Analyst"/>
    <s v="Sarah Lee"/>
    <x v="531"/>
    <n v="0"/>
    <n v="6"/>
    <n v="3"/>
    <n v="7"/>
    <d v="2016-11-28T00:00:00"/>
    <m/>
  </r>
  <r>
    <x v="533"/>
    <n v="35"/>
    <s v="Male"/>
    <x v="1"/>
    <s v="Specialist"/>
    <s v="Omar Khalid"/>
    <x v="532"/>
    <n v="24"/>
    <n v="31"/>
    <n v="5"/>
    <n v="3"/>
    <d v="2016-10-04T00:00:00"/>
    <d v="2017-03-03T00:00:00"/>
  </r>
  <r>
    <x v="534"/>
    <n v="43"/>
    <s v="Female"/>
    <x v="1"/>
    <s v="Associate"/>
    <s v="Fatima Noor"/>
    <x v="533"/>
    <n v="19"/>
    <n v="52"/>
    <m/>
    <n v="7"/>
    <d v="2019-11-18T00:00:00"/>
    <m/>
  </r>
  <r>
    <x v="535"/>
    <n v="55"/>
    <s v="Female"/>
    <x v="5"/>
    <s v="Specialist"/>
    <s v="Sarah Lee"/>
    <x v="534"/>
    <n v="4"/>
    <n v="49"/>
    <m/>
    <n v="3"/>
    <d v="2017-02-09T00:00:00"/>
    <d v="2021-03-14T00:00:00"/>
  </r>
  <r>
    <x v="536"/>
    <n v="37"/>
    <s v="Male"/>
    <x v="3"/>
    <s v="Associate"/>
    <s v="Ahmad Hassan"/>
    <x v="535"/>
    <n v="2"/>
    <n v="39"/>
    <n v="5"/>
    <n v="9"/>
    <d v="2024-09-23T00:00:00"/>
    <d v="2017-05-24T00:00:00"/>
  </r>
  <r>
    <x v="537"/>
    <n v="39"/>
    <s v="Female"/>
    <x v="1"/>
    <s v="Manager"/>
    <s v="Fatima Noor"/>
    <x v="536"/>
    <n v="19"/>
    <n v="46"/>
    <n v="5"/>
    <n v="3"/>
    <d v="2019-02-04T00:00:00"/>
    <m/>
  </r>
  <r>
    <x v="538"/>
    <n v="39"/>
    <s v="Male"/>
    <x v="5"/>
    <s v="Associate"/>
    <s v="John Carter"/>
    <x v="537"/>
    <n v="3"/>
    <n v="48"/>
    <n v="5"/>
    <n v="9"/>
    <d v="2021-12-27T00:00:00"/>
    <m/>
  </r>
  <r>
    <x v="539"/>
    <n v="57"/>
    <s v="Female"/>
    <x v="2"/>
    <s v="Associate"/>
    <s v="Fatima Noor"/>
    <x v="538"/>
    <n v="28"/>
    <n v="58"/>
    <n v="4"/>
    <n v="8"/>
    <d v="2023-07-14T00:00:00"/>
    <m/>
  </r>
  <r>
    <x v="540"/>
    <n v="26"/>
    <s v="Female"/>
    <x v="1"/>
    <s v="Manager"/>
    <s v="Fatima Noor"/>
    <x v="539"/>
    <n v="2"/>
    <n v="19"/>
    <m/>
    <n v="10"/>
    <d v="2022-05-07T00:00:00"/>
    <m/>
  </r>
  <r>
    <x v="541"/>
    <n v="39"/>
    <s v="Male"/>
    <x v="0"/>
    <s v="Specialist"/>
    <s v="Omar Khalid"/>
    <x v="540"/>
    <n v="30"/>
    <n v="57"/>
    <n v="2"/>
    <n v="5"/>
    <d v="2023-07-23T00:00:00"/>
    <m/>
  </r>
  <r>
    <x v="542"/>
    <n v="36"/>
    <s v="Male"/>
    <x v="5"/>
    <s v="Senior Analyst"/>
    <s v="David Miller"/>
    <x v="541"/>
    <n v="22"/>
    <n v="31"/>
    <n v="2"/>
    <n v="2"/>
    <d v="2015-02-10T00:00:00"/>
    <m/>
  </r>
  <r>
    <x v="543"/>
    <n v="57"/>
    <s v="Male"/>
    <x v="4"/>
    <s v="Manager"/>
    <s v="David Miller"/>
    <x v="542"/>
    <n v="2"/>
    <n v="31"/>
    <n v="5"/>
    <n v="1"/>
    <d v="2018-10-21T00:00:00"/>
    <m/>
  </r>
  <r>
    <x v="544"/>
    <n v="30"/>
    <s v="Male"/>
    <x v="5"/>
    <s v="Specialist"/>
    <s v="Omar Khalid"/>
    <x v="543"/>
    <n v="23"/>
    <n v="29"/>
    <n v="5"/>
    <n v="6"/>
    <d v="2019-05-05T00:00:00"/>
    <m/>
  </r>
  <r>
    <x v="545"/>
    <n v="30"/>
    <s v="Male"/>
    <x v="3"/>
    <s v="Manager"/>
    <s v="Omar Khalid"/>
    <x v="544"/>
    <n v="26"/>
    <n v="33"/>
    <n v="4"/>
    <n v="3"/>
    <d v="2024-11-09T00:00:00"/>
    <m/>
  </r>
  <r>
    <x v="546"/>
    <n v="51"/>
    <s v="Male"/>
    <x v="5"/>
    <s v="Specialist"/>
    <s v="Ahmad Hassan"/>
    <x v="545"/>
    <n v="12"/>
    <n v="9"/>
    <n v="1"/>
    <n v="7"/>
    <d v="2020-03-21T00:00:00"/>
    <m/>
  </r>
  <r>
    <x v="547"/>
    <n v="36"/>
    <s v="Male"/>
    <x v="5"/>
    <s v="Senior Analyst"/>
    <s v="John Carter"/>
    <x v="546"/>
    <n v="8"/>
    <n v="14"/>
    <n v="5"/>
    <n v="1"/>
    <d v="2024-03-15T00:00:00"/>
    <m/>
  </r>
  <r>
    <x v="548"/>
    <n v="28"/>
    <s v="Female"/>
    <x v="4"/>
    <s v="Associate"/>
    <s v="Fatima Noor"/>
    <x v="547"/>
    <n v="23"/>
    <n v="0"/>
    <m/>
    <n v="4"/>
    <d v="2023-02-18T00:00:00"/>
    <d v="2019-07-25T00:00:00"/>
  </r>
  <r>
    <x v="549"/>
    <n v="27"/>
    <s v="Male"/>
    <x v="2"/>
    <s v="Senior Analyst"/>
    <s v="John Carter"/>
    <x v="548"/>
    <n v="25"/>
    <n v="18"/>
    <n v="5"/>
    <n v="5"/>
    <d v="2019-12-08T00:00:00"/>
    <d v="2021-07-22T00:00:00"/>
  </r>
  <r>
    <x v="550"/>
    <n v="58"/>
    <s v="Male"/>
    <x v="2"/>
    <s v="Analyst"/>
    <s v="John Carter"/>
    <x v="549"/>
    <n v="15"/>
    <n v="54"/>
    <m/>
    <n v="2"/>
    <d v="2019-04-09T00:00:00"/>
    <d v="2017-03-26T00:00:00"/>
  </r>
  <r>
    <x v="551"/>
    <n v="57"/>
    <s v="Male"/>
    <x v="2"/>
    <s v="Associate"/>
    <s v="Omar Khalid"/>
    <x v="550"/>
    <n v="28"/>
    <n v="32"/>
    <m/>
    <n v="2"/>
    <d v="2024-11-02T00:00:00"/>
    <m/>
  </r>
  <r>
    <x v="552"/>
    <n v="57"/>
    <s v="Male"/>
    <x v="3"/>
    <s v="Manager"/>
    <s v="Ahmad Hassan"/>
    <x v="551"/>
    <n v="3"/>
    <n v="39"/>
    <m/>
    <n v="4"/>
    <d v="2023-06-07T00:00:00"/>
    <d v="2024-04-15T00:00:00"/>
  </r>
  <r>
    <x v="553"/>
    <n v="40"/>
    <s v="Female"/>
    <x v="5"/>
    <s v="Associate"/>
    <s v="Fatima Noor"/>
    <x v="552"/>
    <n v="24"/>
    <n v="41"/>
    <n v="2"/>
    <n v="10"/>
    <d v="2024-10-26T00:00:00"/>
    <m/>
  </r>
  <r>
    <x v="554"/>
    <n v="43"/>
    <s v="Male"/>
    <x v="2"/>
    <s v="Senior Analyst"/>
    <s v="Ahmad Hassan"/>
    <x v="553"/>
    <n v="7"/>
    <n v="33"/>
    <n v="4"/>
    <n v="10"/>
    <d v="2016-03-15T00:00:00"/>
    <d v="2019-01-28T00:00:00"/>
  </r>
  <r>
    <x v="555"/>
    <n v="46"/>
    <s v="Male"/>
    <x v="1"/>
    <s v="Manager"/>
    <s v="David Miller"/>
    <x v="554"/>
    <n v="28"/>
    <n v="39"/>
    <n v="4"/>
    <n v="5"/>
    <d v="2017-08-13T00:00:00"/>
    <m/>
  </r>
  <r>
    <x v="556"/>
    <n v="36"/>
    <s v="Female"/>
    <x v="3"/>
    <s v="Analyst"/>
    <s v="Fatima Noor"/>
    <x v="555"/>
    <n v="8"/>
    <n v="10"/>
    <n v="1"/>
    <n v="1"/>
    <d v="2017-10-25T00:00:00"/>
    <m/>
  </r>
  <r>
    <x v="557"/>
    <n v="34"/>
    <s v="Female"/>
    <x v="1"/>
    <s v="Manager"/>
    <s v="Fatima Noor"/>
    <x v="556"/>
    <n v="15"/>
    <n v="57"/>
    <n v="4"/>
    <n v="7"/>
    <d v="2023-10-05T00:00:00"/>
    <m/>
  </r>
  <r>
    <x v="558"/>
    <n v="57"/>
    <s v="Male"/>
    <x v="3"/>
    <s v="Associate"/>
    <s v="Omar Khalid"/>
    <x v="557"/>
    <n v="3"/>
    <n v="19"/>
    <m/>
    <n v="9"/>
    <d v="2015-07-23T00:00:00"/>
    <m/>
  </r>
  <r>
    <x v="559"/>
    <n v="60"/>
    <s v="Male"/>
    <x v="2"/>
    <s v="Specialist"/>
    <s v="John Carter"/>
    <x v="558"/>
    <n v="6"/>
    <n v="7"/>
    <n v="3"/>
    <n v="8"/>
    <d v="2018-05-03T00:00:00"/>
    <m/>
  </r>
  <r>
    <x v="560"/>
    <n v="33"/>
    <s v="Female"/>
    <x v="3"/>
    <s v="Specialist"/>
    <s v="Fatima Noor"/>
    <x v="559"/>
    <n v="24"/>
    <n v="60"/>
    <n v="1"/>
    <n v="4"/>
    <d v="2022-08-06T00:00:00"/>
    <m/>
  </r>
  <r>
    <x v="561"/>
    <n v="21"/>
    <s v="Male"/>
    <x v="0"/>
    <s v="Senior Analyst"/>
    <s v="John Carter"/>
    <x v="560"/>
    <n v="5"/>
    <n v="49"/>
    <n v="3"/>
    <n v="5"/>
    <d v="2020-04-15T00:00:00"/>
    <d v="2021-02-24T00:00:00"/>
  </r>
  <r>
    <x v="562"/>
    <n v="21"/>
    <s v="Male"/>
    <x v="0"/>
    <s v="Senior Analyst"/>
    <s v="Ahmad Hassan"/>
    <x v="561"/>
    <n v="20"/>
    <n v="51"/>
    <n v="5"/>
    <n v="10"/>
    <d v="2017-02-13T00:00:00"/>
    <m/>
  </r>
  <r>
    <x v="563"/>
    <n v="32"/>
    <s v="Male"/>
    <x v="2"/>
    <s v="Specialist"/>
    <s v="John Carter"/>
    <x v="562"/>
    <n v="27"/>
    <n v="56"/>
    <n v="4"/>
    <n v="4"/>
    <d v="2016-09-14T00:00:00"/>
    <m/>
  </r>
  <r>
    <x v="564"/>
    <n v="36"/>
    <s v="Female"/>
    <x v="3"/>
    <s v="Analyst"/>
    <s v="Fatima Noor"/>
    <x v="563"/>
    <n v="22"/>
    <n v="43"/>
    <m/>
    <n v="7"/>
    <d v="2018-05-13T00:00:00"/>
    <m/>
  </r>
  <r>
    <x v="565"/>
    <n v="30"/>
    <s v="Female"/>
    <x v="2"/>
    <s v="Analyst"/>
    <s v="Emily Brown"/>
    <x v="564"/>
    <n v="2"/>
    <n v="21"/>
    <n v="2"/>
    <n v="3"/>
    <d v="2015-10-15T00:00:00"/>
    <m/>
  </r>
  <r>
    <x v="566"/>
    <n v="44"/>
    <s v="Female"/>
    <x v="2"/>
    <s v="Manager"/>
    <s v="Fatima Noor"/>
    <x v="565"/>
    <n v="19"/>
    <n v="22"/>
    <n v="4"/>
    <n v="7"/>
    <d v="2024-07-05T00:00:00"/>
    <d v="2024-03-22T00:00:00"/>
  </r>
  <r>
    <x v="567"/>
    <n v="56"/>
    <s v="Male"/>
    <x v="2"/>
    <s v="Associate"/>
    <s v="John Carter"/>
    <x v="566"/>
    <n v="23"/>
    <n v="46"/>
    <m/>
    <n v="10"/>
    <d v="2015-02-18T00:00:00"/>
    <m/>
  </r>
  <r>
    <x v="568"/>
    <n v="53"/>
    <s v="Male"/>
    <x v="2"/>
    <s v="Specialist"/>
    <s v="John Carter"/>
    <x v="567"/>
    <n v="14"/>
    <n v="25"/>
    <n v="3"/>
    <n v="8"/>
    <d v="2020-01-17T00:00:00"/>
    <m/>
  </r>
  <r>
    <x v="569"/>
    <n v="52"/>
    <s v="Male"/>
    <x v="1"/>
    <s v="Associate"/>
    <s v="David Miller"/>
    <x v="568"/>
    <n v="7"/>
    <n v="21"/>
    <n v="1"/>
    <n v="3"/>
    <d v="2017-01-04T00:00:00"/>
    <m/>
  </r>
  <r>
    <x v="570"/>
    <n v="53"/>
    <s v="Male"/>
    <x v="3"/>
    <s v="Associate"/>
    <s v="Ahmad Hassan"/>
    <x v="569"/>
    <n v="13"/>
    <n v="40"/>
    <m/>
    <n v="6"/>
    <d v="2021-06-14T00:00:00"/>
    <m/>
  </r>
  <r>
    <x v="571"/>
    <n v="28"/>
    <s v="Male"/>
    <x v="0"/>
    <s v="Specialist"/>
    <s v="David Miller"/>
    <x v="570"/>
    <n v="20"/>
    <n v="8"/>
    <n v="1"/>
    <n v="2"/>
    <d v="2016-10-13T00:00:00"/>
    <m/>
  </r>
  <r>
    <x v="572"/>
    <n v="51"/>
    <s v="Male"/>
    <x v="5"/>
    <s v="Manager"/>
    <s v="John Carter"/>
    <x v="571"/>
    <n v="5"/>
    <n v="2"/>
    <n v="4"/>
    <n v="10"/>
    <d v="2016-07-14T00:00:00"/>
    <m/>
  </r>
  <r>
    <x v="573"/>
    <n v="28"/>
    <s v="Female"/>
    <x v="5"/>
    <s v="Analyst"/>
    <s v="Fatima Noor"/>
    <x v="572"/>
    <n v="30"/>
    <n v="19"/>
    <m/>
    <n v="5"/>
    <d v="2021-10-11T00:00:00"/>
    <m/>
  </r>
  <r>
    <x v="574"/>
    <n v="43"/>
    <s v="Male"/>
    <x v="5"/>
    <s v="Analyst"/>
    <s v="Omar Khalid"/>
    <x v="573"/>
    <n v="5"/>
    <n v="56"/>
    <n v="2"/>
    <n v="7"/>
    <d v="2022-07-26T00:00:00"/>
    <d v="2016-12-07T00:00:00"/>
  </r>
  <r>
    <x v="575"/>
    <n v="23"/>
    <s v="Female"/>
    <x v="5"/>
    <s v="Specialist"/>
    <s v="Sarah Lee"/>
    <x v="574"/>
    <n v="3"/>
    <n v="13"/>
    <n v="4"/>
    <n v="10"/>
    <d v="2018-08-04T00:00:00"/>
    <d v="2019-09-10T00:00:00"/>
  </r>
  <r>
    <x v="576"/>
    <n v="26"/>
    <s v="Female"/>
    <x v="4"/>
    <s v="Analyst"/>
    <s v="Fatima Noor"/>
    <x v="575"/>
    <n v="23"/>
    <n v="34"/>
    <n v="1"/>
    <n v="10"/>
    <d v="2015-05-02T00:00:00"/>
    <m/>
  </r>
  <r>
    <x v="577"/>
    <n v="48"/>
    <s v="Female"/>
    <x v="5"/>
    <s v="Manager"/>
    <s v="Emily Brown"/>
    <x v="576"/>
    <n v="18"/>
    <n v="18"/>
    <n v="1"/>
    <n v="6"/>
    <d v="2024-09-14T00:00:00"/>
    <d v="2016-10-23T00:00:00"/>
  </r>
  <r>
    <x v="578"/>
    <n v="24"/>
    <s v="Male"/>
    <x v="0"/>
    <s v="Specialist"/>
    <s v="David Miller"/>
    <x v="577"/>
    <n v="22"/>
    <n v="9"/>
    <n v="3"/>
    <n v="5"/>
    <d v="2024-08-27T00:00:00"/>
    <m/>
  </r>
  <r>
    <x v="579"/>
    <n v="51"/>
    <s v="Female"/>
    <x v="2"/>
    <s v="Manager"/>
    <s v="Fatima Noor"/>
    <x v="578"/>
    <n v="20"/>
    <n v="7"/>
    <n v="5"/>
    <n v="5"/>
    <d v="2019-11-18T00:00:00"/>
    <m/>
  </r>
  <r>
    <x v="580"/>
    <n v="44"/>
    <s v="Female"/>
    <x v="3"/>
    <s v="Specialist"/>
    <s v="Sarah Lee"/>
    <x v="579"/>
    <n v="22"/>
    <n v="30"/>
    <m/>
    <n v="9"/>
    <d v="2015-02-07T00:00:00"/>
    <m/>
  </r>
  <r>
    <x v="581"/>
    <n v="58"/>
    <s v="Female"/>
    <x v="5"/>
    <s v="Associate"/>
    <s v="Emily Brown"/>
    <x v="580"/>
    <n v="6"/>
    <n v="42"/>
    <n v="5"/>
    <n v="10"/>
    <d v="2023-07-02T00:00:00"/>
    <d v="2022-04-10T00:00:00"/>
  </r>
  <r>
    <x v="582"/>
    <n v="33"/>
    <s v="Female"/>
    <x v="4"/>
    <s v="Manager"/>
    <s v="Sarah Lee"/>
    <x v="581"/>
    <n v="27"/>
    <n v="24"/>
    <n v="5"/>
    <n v="2"/>
    <d v="2021-09-18T00:00:00"/>
    <m/>
  </r>
  <r>
    <x v="583"/>
    <n v="21"/>
    <s v="Female"/>
    <x v="5"/>
    <s v="Specialist"/>
    <s v="Sarah Lee"/>
    <x v="582"/>
    <n v="27"/>
    <n v="20"/>
    <n v="1"/>
    <n v="2"/>
    <d v="2019-12-13T00:00:00"/>
    <m/>
  </r>
  <r>
    <x v="584"/>
    <n v="47"/>
    <s v="Female"/>
    <x v="5"/>
    <s v="Manager"/>
    <s v="Sarah Lee"/>
    <x v="583"/>
    <n v="22"/>
    <n v="35"/>
    <n v="2"/>
    <n v="4"/>
    <d v="2020-09-06T00:00:00"/>
    <m/>
  </r>
  <r>
    <x v="585"/>
    <n v="51"/>
    <s v="Male"/>
    <x v="4"/>
    <s v="Specialist"/>
    <s v="John Carter"/>
    <x v="584"/>
    <n v="13"/>
    <n v="5"/>
    <n v="4"/>
    <n v="5"/>
    <d v="2024-10-21T00:00:00"/>
    <m/>
  </r>
  <r>
    <x v="586"/>
    <n v="42"/>
    <s v="Male"/>
    <x v="0"/>
    <s v="Senior Analyst"/>
    <s v="Omar Khalid"/>
    <x v="585"/>
    <n v="10"/>
    <n v="0"/>
    <m/>
    <n v="10"/>
    <d v="2017-06-21T00:00:00"/>
    <m/>
  </r>
  <r>
    <x v="587"/>
    <n v="39"/>
    <s v="Female"/>
    <x v="4"/>
    <s v="Senior Analyst"/>
    <s v="Fatima Noor"/>
    <x v="586"/>
    <n v="28"/>
    <n v="9"/>
    <n v="3"/>
    <n v="3"/>
    <d v="2022-11-17T00:00:00"/>
    <m/>
  </r>
  <r>
    <x v="588"/>
    <n v="49"/>
    <s v="Female"/>
    <x v="3"/>
    <s v="Specialist"/>
    <s v="Sarah Lee"/>
    <x v="587"/>
    <n v="13"/>
    <n v="50"/>
    <n v="5"/>
    <n v="3"/>
    <d v="2018-05-06T00:00:00"/>
    <d v="2023-04-26T00:00:00"/>
  </r>
  <r>
    <x v="589"/>
    <n v="21"/>
    <s v="Male"/>
    <x v="2"/>
    <s v="Specialist"/>
    <s v="Ahmad Hassan"/>
    <x v="488"/>
    <n v="12"/>
    <n v="10"/>
    <n v="4"/>
    <n v="6"/>
    <d v="2022-07-10T00:00:00"/>
    <m/>
  </r>
  <r>
    <x v="590"/>
    <n v="42"/>
    <s v="Female"/>
    <x v="0"/>
    <s v="Associate"/>
    <s v="Fatima Noor"/>
    <x v="588"/>
    <n v="23"/>
    <n v="8"/>
    <n v="4"/>
    <n v="5"/>
    <d v="2022-07-19T00:00:00"/>
    <m/>
  </r>
  <r>
    <x v="591"/>
    <n v="47"/>
    <s v="Male"/>
    <x v="1"/>
    <s v="Associate"/>
    <s v="John Carter"/>
    <x v="589"/>
    <n v="26"/>
    <n v="32"/>
    <n v="2"/>
    <n v="4"/>
    <d v="2016-07-21T00:00:00"/>
    <m/>
  </r>
  <r>
    <x v="592"/>
    <n v="33"/>
    <s v="Female"/>
    <x v="5"/>
    <s v="Senior Analyst"/>
    <s v="Sarah Lee"/>
    <x v="590"/>
    <n v="13"/>
    <n v="42"/>
    <n v="2"/>
    <n v="7"/>
    <d v="2024-02-26T00:00:00"/>
    <m/>
  </r>
  <r>
    <x v="593"/>
    <n v="26"/>
    <s v="Male"/>
    <x v="5"/>
    <s v="Associate"/>
    <s v="John Carter"/>
    <x v="591"/>
    <n v="3"/>
    <n v="29"/>
    <n v="1"/>
    <n v="9"/>
    <d v="2016-01-11T00:00:00"/>
    <m/>
  </r>
  <r>
    <x v="594"/>
    <n v="29"/>
    <s v="Female"/>
    <x v="3"/>
    <s v="Manager"/>
    <s v="Sarah Lee"/>
    <x v="592"/>
    <n v="0"/>
    <n v="37"/>
    <n v="5"/>
    <n v="7"/>
    <d v="2017-02-06T00:00:00"/>
    <d v="2017-01-24T00:00:00"/>
  </r>
  <r>
    <x v="595"/>
    <n v="36"/>
    <s v="Male"/>
    <x v="2"/>
    <s v="Specialist"/>
    <s v="John Carter"/>
    <x v="593"/>
    <n v="24"/>
    <n v="18"/>
    <n v="1"/>
    <n v="3"/>
    <d v="2016-08-06T00:00:00"/>
    <m/>
  </r>
  <r>
    <x v="596"/>
    <n v="44"/>
    <s v="Female"/>
    <x v="0"/>
    <s v="Specialist"/>
    <s v="Sarah Lee"/>
    <x v="594"/>
    <n v="21"/>
    <n v="33"/>
    <n v="1"/>
    <n v="3"/>
    <d v="2017-06-17T00:00:00"/>
    <m/>
  </r>
  <r>
    <x v="597"/>
    <n v="38"/>
    <s v="Female"/>
    <x v="3"/>
    <s v="Senior Analyst"/>
    <s v="Fatima Noor"/>
    <x v="595"/>
    <n v="4"/>
    <n v="5"/>
    <m/>
    <n v="3"/>
    <d v="2020-03-20T00:00:00"/>
    <m/>
  </r>
  <r>
    <x v="598"/>
    <n v="43"/>
    <s v="Male"/>
    <x v="5"/>
    <s v="Specialist"/>
    <s v="David Miller"/>
    <x v="596"/>
    <n v="12"/>
    <n v="35"/>
    <n v="2"/>
    <n v="3"/>
    <d v="2018-04-20T00:00:00"/>
    <d v="2017-08-19T00:00:00"/>
  </r>
  <r>
    <x v="599"/>
    <n v="51"/>
    <s v="Male"/>
    <x v="0"/>
    <s v="Manager"/>
    <s v="Ahmad Hassan"/>
    <x v="597"/>
    <n v="22"/>
    <n v="30"/>
    <n v="1"/>
    <n v="8"/>
    <d v="2015-02-27T00:00:00"/>
    <d v="2021-04-09T00:00:00"/>
  </r>
  <r>
    <x v="600"/>
    <n v="59"/>
    <s v="Male"/>
    <x v="2"/>
    <s v="Associate"/>
    <s v="David Miller"/>
    <x v="598"/>
    <n v="1"/>
    <n v="40"/>
    <n v="1"/>
    <n v="3"/>
    <d v="2023-07-13T00:00:00"/>
    <m/>
  </r>
  <r>
    <x v="601"/>
    <n v="34"/>
    <s v="Female"/>
    <x v="5"/>
    <s v="Senior Analyst"/>
    <s v="Emily Brown"/>
    <x v="599"/>
    <n v="24"/>
    <n v="29"/>
    <n v="4"/>
    <n v="3"/>
    <d v="2017-11-16T00:00:00"/>
    <d v="2020-08-22T00:00:00"/>
  </r>
  <r>
    <x v="602"/>
    <n v="49"/>
    <s v="Male"/>
    <x v="0"/>
    <s v="Specialist"/>
    <s v="John Carter"/>
    <x v="600"/>
    <n v="21"/>
    <n v="43"/>
    <n v="4"/>
    <n v="9"/>
    <d v="2024-06-02T00:00:00"/>
    <m/>
  </r>
  <r>
    <x v="603"/>
    <n v="55"/>
    <s v="Male"/>
    <x v="0"/>
    <s v="Specialist"/>
    <s v="David Miller"/>
    <x v="601"/>
    <n v="30"/>
    <n v="4"/>
    <n v="2"/>
    <n v="6"/>
    <d v="2021-02-12T00:00:00"/>
    <m/>
  </r>
  <r>
    <x v="604"/>
    <n v="45"/>
    <s v="Male"/>
    <x v="2"/>
    <s v="Manager"/>
    <s v="Omar Khalid"/>
    <x v="602"/>
    <n v="10"/>
    <n v="50"/>
    <n v="4"/>
    <n v="10"/>
    <d v="2021-11-13T00:00:00"/>
    <m/>
  </r>
  <r>
    <x v="605"/>
    <n v="46"/>
    <s v="Female"/>
    <x v="5"/>
    <s v="Associate"/>
    <s v="Sarah Lee"/>
    <x v="603"/>
    <n v="3"/>
    <n v="30"/>
    <n v="2"/>
    <n v="5"/>
    <d v="2020-08-05T00:00:00"/>
    <m/>
  </r>
  <r>
    <x v="606"/>
    <n v="22"/>
    <s v="Female"/>
    <x v="0"/>
    <s v="Associate"/>
    <s v="Sarah Lee"/>
    <x v="604"/>
    <n v="8"/>
    <n v="7"/>
    <n v="3"/>
    <n v="9"/>
    <d v="2020-08-11T00:00:00"/>
    <m/>
  </r>
  <r>
    <x v="607"/>
    <n v="26"/>
    <s v="Male"/>
    <x v="2"/>
    <s v="Senior Analyst"/>
    <s v="Ahmad Hassan"/>
    <x v="605"/>
    <n v="21"/>
    <n v="41"/>
    <m/>
    <n v="10"/>
    <d v="2021-12-20T00:00:00"/>
    <m/>
  </r>
  <r>
    <x v="608"/>
    <n v="34"/>
    <s v="Female"/>
    <x v="2"/>
    <s v="Analyst"/>
    <s v="Fatima Noor"/>
    <x v="606"/>
    <n v="15"/>
    <n v="18"/>
    <n v="3"/>
    <n v="7"/>
    <d v="2022-05-17T00:00:00"/>
    <d v="2023-04-05T00:00:00"/>
  </r>
  <r>
    <x v="609"/>
    <n v="22"/>
    <s v="Male"/>
    <x v="4"/>
    <s v="Manager"/>
    <s v="John Carter"/>
    <x v="607"/>
    <n v="22"/>
    <n v="3"/>
    <n v="4"/>
    <n v="1"/>
    <d v="2021-04-04T00:00:00"/>
    <m/>
  </r>
  <r>
    <x v="610"/>
    <n v="38"/>
    <s v="Female"/>
    <x v="3"/>
    <s v="Analyst"/>
    <s v="Sarah Lee"/>
    <x v="608"/>
    <n v="0"/>
    <n v="60"/>
    <n v="1"/>
    <n v="2"/>
    <d v="2015-06-22T00:00:00"/>
    <m/>
  </r>
  <r>
    <x v="611"/>
    <n v="29"/>
    <s v="Female"/>
    <x v="0"/>
    <s v="Specialist"/>
    <s v="Sarah Lee"/>
    <x v="609"/>
    <n v="16"/>
    <n v="2"/>
    <n v="1"/>
    <n v="6"/>
    <d v="2023-12-11T00:00:00"/>
    <d v="2021-06-27T00:00:00"/>
  </r>
  <r>
    <x v="612"/>
    <n v="44"/>
    <s v="Male"/>
    <x v="2"/>
    <s v="Analyst"/>
    <s v="Ahmad Hassan"/>
    <x v="610"/>
    <n v="29"/>
    <n v="41"/>
    <n v="2"/>
    <n v="1"/>
    <d v="2018-01-16T00:00:00"/>
    <m/>
  </r>
  <r>
    <x v="613"/>
    <n v="58"/>
    <s v="Male"/>
    <x v="0"/>
    <s v="Associate"/>
    <s v="John Carter"/>
    <x v="611"/>
    <n v="16"/>
    <n v="25"/>
    <m/>
    <n v="1"/>
    <d v="2015-03-08T00:00:00"/>
    <d v="2017-01-13T00:00:00"/>
  </r>
  <r>
    <x v="614"/>
    <n v="51"/>
    <s v="Female"/>
    <x v="3"/>
    <s v="Senior Analyst"/>
    <s v="Emily Brown"/>
    <x v="612"/>
    <n v="27"/>
    <n v="20"/>
    <n v="1"/>
    <n v="9"/>
    <d v="2020-01-21T00:00:00"/>
    <m/>
  </r>
  <r>
    <x v="615"/>
    <n v="52"/>
    <s v="Male"/>
    <x v="4"/>
    <s v="Specialist"/>
    <s v="Ahmad Hassan"/>
    <x v="613"/>
    <n v="27"/>
    <n v="33"/>
    <n v="1"/>
    <n v="1"/>
    <d v="2022-10-17T00:00:00"/>
    <m/>
  </r>
  <r>
    <x v="616"/>
    <n v="28"/>
    <s v="Male"/>
    <x v="0"/>
    <s v="Senior Analyst"/>
    <s v="Ahmad Hassan"/>
    <x v="614"/>
    <n v="3"/>
    <n v="6"/>
    <n v="2"/>
    <n v="9"/>
    <d v="2016-08-17T00:00:00"/>
    <m/>
  </r>
  <r>
    <x v="617"/>
    <n v="43"/>
    <s v="Male"/>
    <x v="3"/>
    <s v="Senior Analyst"/>
    <s v="Ahmad Hassan"/>
    <x v="615"/>
    <n v="11"/>
    <n v="58"/>
    <n v="2"/>
    <n v="8"/>
    <d v="2020-07-19T00:00:00"/>
    <m/>
  </r>
  <r>
    <x v="618"/>
    <n v="57"/>
    <s v="Male"/>
    <x v="5"/>
    <s v="Manager"/>
    <s v="Ahmad Hassan"/>
    <x v="616"/>
    <n v="1"/>
    <n v="13"/>
    <n v="2"/>
    <n v="5"/>
    <d v="2021-12-24T00:00:00"/>
    <d v="2022-02-28T00:00:00"/>
  </r>
  <r>
    <x v="619"/>
    <n v="25"/>
    <s v="Male"/>
    <x v="5"/>
    <s v="Senior Analyst"/>
    <s v="Omar Khalid"/>
    <x v="617"/>
    <n v="26"/>
    <n v="19"/>
    <n v="4"/>
    <n v="10"/>
    <d v="2016-05-08T00:00:00"/>
    <m/>
  </r>
  <r>
    <x v="620"/>
    <n v="21"/>
    <s v="Male"/>
    <x v="4"/>
    <s v="Manager"/>
    <s v="John Carter"/>
    <x v="618"/>
    <n v="24"/>
    <n v="8"/>
    <n v="5"/>
    <n v="6"/>
    <d v="2024-10-27T00:00:00"/>
    <m/>
  </r>
  <r>
    <x v="621"/>
    <n v="52"/>
    <s v="Male"/>
    <x v="2"/>
    <s v="Manager"/>
    <s v="John Carter"/>
    <x v="619"/>
    <n v="16"/>
    <n v="40"/>
    <m/>
    <n v="6"/>
    <d v="2016-10-27T00:00:00"/>
    <m/>
  </r>
  <r>
    <x v="622"/>
    <n v="44"/>
    <s v="Male"/>
    <x v="0"/>
    <s v="Analyst"/>
    <s v="Omar Khalid"/>
    <x v="620"/>
    <n v="29"/>
    <n v="56"/>
    <m/>
    <n v="2"/>
    <d v="2022-07-11T00:00:00"/>
    <m/>
  </r>
  <r>
    <x v="623"/>
    <n v="35"/>
    <s v="Male"/>
    <x v="3"/>
    <s v="Associate"/>
    <s v="David Miller"/>
    <x v="621"/>
    <n v="1"/>
    <n v="51"/>
    <n v="1"/>
    <n v="10"/>
    <d v="2018-04-28T00:00:00"/>
    <m/>
  </r>
  <r>
    <x v="624"/>
    <n v="27"/>
    <s v="Male"/>
    <x v="5"/>
    <s v="Specialist"/>
    <s v="David Miller"/>
    <x v="622"/>
    <n v="26"/>
    <n v="24"/>
    <n v="3"/>
    <n v="8"/>
    <d v="2017-04-02T00:00:00"/>
    <d v="2021-10-03T00:00:00"/>
  </r>
  <r>
    <x v="625"/>
    <n v="57"/>
    <s v="Female"/>
    <x v="0"/>
    <s v="Manager"/>
    <s v="Sarah Lee"/>
    <x v="623"/>
    <n v="14"/>
    <n v="59"/>
    <n v="5"/>
    <n v="7"/>
    <d v="2016-07-14T00:00:00"/>
    <d v="2020-02-20T00:00:00"/>
  </r>
  <r>
    <x v="626"/>
    <n v="49"/>
    <s v="Male"/>
    <x v="5"/>
    <s v="Manager"/>
    <s v="Ahmad Hassan"/>
    <x v="624"/>
    <n v="7"/>
    <n v="41"/>
    <n v="5"/>
    <n v="1"/>
    <d v="2022-07-12T00:00:00"/>
    <m/>
  </r>
  <r>
    <x v="627"/>
    <n v="48"/>
    <s v="Female"/>
    <x v="1"/>
    <s v="Senior Analyst"/>
    <s v="Sarah Lee"/>
    <x v="233"/>
    <n v="18"/>
    <n v="12"/>
    <n v="3"/>
    <n v="2"/>
    <d v="2024-06-14T00:00:00"/>
    <m/>
  </r>
  <r>
    <x v="628"/>
    <n v="55"/>
    <s v="Male"/>
    <x v="5"/>
    <s v="Analyst"/>
    <s v="David Miller"/>
    <x v="625"/>
    <n v="23"/>
    <n v="29"/>
    <n v="4"/>
    <n v="6"/>
    <d v="2018-07-26T00:00:00"/>
    <m/>
  </r>
  <r>
    <x v="629"/>
    <n v="56"/>
    <s v="Female"/>
    <x v="1"/>
    <s v="Manager"/>
    <s v="Fatima Noor"/>
    <x v="626"/>
    <n v="17"/>
    <n v="51"/>
    <n v="5"/>
    <n v="8"/>
    <d v="2021-12-08T00:00:00"/>
    <d v="2017-12-12T00:00:00"/>
  </r>
  <r>
    <x v="630"/>
    <n v="60"/>
    <s v="Male"/>
    <x v="5"/>
    <s v="Specialist"/>
    <s v="Omar Khalid"/>
    <x v="627"/>
    <n v="9"/>
    <n v="54"/>
    <n v="5"/>
    <n v="9"/>
    <d v="2021-08-11T00:00:00"/>
    <m/>
  </r>
  <r>
    <x v="631"/>
    <n v="59"/>
    <s v="Male"/>
    <x v="2"/>
    <s v="Senior Analyst"/>
    <s v="Omar Khalid"/>
    <x v="628"/>
    <n v="4"/>
    <n v="39"/>
    <n v="3"/>
    <n v="10"/>
    <d v="2017-07-16T00:00:00"/>
    <m/>
  </r>
  <r>
    <x v="632"/>
    <n v="57"/>
    <s v="Male"/>
    <x v="0"/>
    <s v="Specialist"/>
    <s v="Ahmad Hassan"/>
    <x v="573"/>
    <n v="6"/>
    <n v="39"/>
    <m/>
    <n v="3"/>
    <d v="2019-01-18T00:00:00"/>
    <m/>
  </r>
  <r>
    <x v="633"/>
    <n v="51"/>
    <s v="Male"/>
    <x v="5"/>
    <s v="Analyst"/>
    <s v="John Carter"/>
    <x v="629"/>
    <n v="5"/>
    <n v="35"/>
    <n v="2"/>
    <n v="7"/>
    <d v="2018-08-11T00:00:00"/>
    <m/>
  </r>
  <r>
    <x v="634"/>
    <n v="45"/>
    <s v="Male"/>
    <x v="5"/>
    <s v="Senior Analyst"/>
    <s v="David Miller"/>
    <x v="630"/>
    <n v="9"/>
    <n v="16"/>
    <n v="2"/>
    <n v="9"/>
    <d v="2024-08-28T00:00:00"/>
    <d v="2018-01-02T00:00:00"/>
  </r>
  <r>
    <x v="635"/>
    <n v="22"/>
    <s v="Male"/>
    <x v="1"/>
    <s v="Senior Analyst"/>
    <s v="Ahmad Hassan"/>
    <x v="631"/>
    <n v="9"/>
    <n v="43"/>
    <m/>
    <n v="5"/>
    <d v="2018-07-01T00:00:00"/>
    <m/>
  </r>
  <r>
    <x v="636"/>
    <n v="57"/>
    <s v="Female"/>
    <x v="2"/>
    <s v="Manager"/>
    <s v="Emily Brown"/>
    <x v="632"/>
    <n v="0"/>
    <n v="0"/>
    <n v="3"/>
    <n v="5"/>
    <d v="2023-10-07T00:00:00"/>
    <m/>
  </r>
  <r>
    <x v="637"/>
    <n v="42"/>
    <s v="Female"/>
    <x v="2"/>
    <s v="Senior Analyst"/>
    <s v="Fatima Noor"/>
    <x v="611"/>
    <n v="27"/>
    <n v="4"/>
    <n v="4"/>
    <n v="3"/>
    <d v="2020-12-18T00:00:00"/>
    <d v="2017-11-21T00:00:00"/>
  </r>
  <r>
    <x v="638"/>
    <n v="27"/>
    <s v="Female"/>
    <x v="1"/>
    <s v="Manager"/>
    <s v="Emily Brown"/>
    <x v="633"/>
    <n v="26"/>
    <n v="49"/>
    <m/>
    <n v="7"/>
    <d v="2018-02-02T00:00:00"/>
    <m/>
  </r>
  <r>
    <x v="639"/>
    <n v="48"/>
    <s v="Female"/>
    <x v="3"/>
    <s v="Specialist"/>
    <s v="Fatima Noor"/>
    <x v="634"/>
    <n v="12"/>
    <n v="59"/>
    <n v="5"/>
    <n v="1"/>
    <d v="2016-05-23T00:00:00"/>
    <d v="2019-06-04T00:00:00"/>
  </r>
  <r>
    <x v="640"/>
    <n v="32"/>
    <s v="Male"/>
    <x v="1"/>
    <s v="Manager"/>
    <s v="Omar Khalid"/>
    <x v="635"/>
    <n v="6"/>
    <n v="3"/>
    <n v="4"/>
    <n v="9"/>
    <d v="2023-06-24T00:00:00"/>
    <m/>
  </r>
  <r>
    <x v="641"/>
    <n v="47"/>
    <s v="Male"/>
    <x v="1"/>
    <s v="Analyst"/>
    <s v="Omar Khalid"/>
    <x v="636"/>
    <n v="19"/>
    <n v="15"/>
    <m/>
    <n v="8"/>
    <d v="2019-08-23T00:00:00"/>
    <d v="2022-05-14T00:00:00"/>
  </r>
  <r>
    <x v="642"/>
    <n v="33"/>
    <s v="Male"/>
    <x v="0"/>
    <s v="Specialist"/>
    <s v="Omar Khalid"/>
    <x v="637"/>
    <n v="24"/>
    <n v="35"/>
    <n v="2"/>
    <n v="3"/>
    <d v="2018-06-19T00:00:00"/>
    <d v="2019-10-22T00:00:00"/>
  </r>
  <r>
    <x v="643"/>
    <n v="47"/>
    <s v="Female"/>
    <x v="0"/>
    <s v="Manager"/>
    <s v="Emily Brown"/>
    <x v="638"/>
    <n v="9"/>
    <n v="1"/>
    <n v="5"/>
    <n v="1"/>
    <d v="2023-08-28T00:00:00"/>
    <d v="2021-07-04T00:00:00"/>
  </r>
  <r>
    <x v="644"/>
    <n v="56"/>
    <s v="Male"/>
    <x v="4"/>
    <s v="Specialist"/>
    <s v="Ahmad Hassan"/>
    <x v="639"/>
    <n v="7"/>
    <n v="46"/>
    <n v="2"/>
    <n v="3"/>
    <d v="2019-01-20T00:00:00"/>
    <m/>
  </r>
  <r>
    <x v="645"/>
    <n v="28"/>
    <s v="Male"/>
    <x v="0"/>
    <s v="Specialist"/>
    <s v="Ahmad Hassan"/>
    <x v="640"/>
    <n v="1"/>
    <n v="56"/>
    <n v="2"/>
    <n v="7"/>
    <d v="2023-08-19T00:00:00"/>
    <m/>
  </r>
  <r>
    <x v="646"/>
    <n v="50"/>
    <s v="Female"/>
    <x v="3"/>
    <s v="Specialist"/>
    <s v="Emily Brown"/>
    <x v="641"/>
    <n v="20"/>
    <n v="44"/>
    <n v="2"/>
    <n v="7"/>
    <d v="2015-12-13T00:00:00"/>
    <m/>
  </r>
  <r>
    <x v="647"/>
    <n v="50"/>
    <s v="Female"/>
    <x v="2"/>
    <s v="Analyst"/>
    <s v="Emily Brown"/>
    <x v="642"/>
    <n v="5"/>
    <n v="59"/>
    <n v="2"/>
    <n v="2"/>
    <d v="2020-06-18T00:00:00"/>
    <m/>
  </r>
  <r>
    <x v="648"/>
    <n v="54"/>
    <s v="Female"/>
    <x v="4"/>
    <s v="Manager"/>
    <s v="Emily Brown"/>
    <x v="643"/>
    <n v="19"/>
    <n v="56"/>
    <m/>
    <n v="1"/>
    <d v="2019-11-20T00:00:00"/>
    <m/>
  </r>
  <r>
    <x v="649"/>
    <n v="25"/>
    <s v="Male"/>
    <x v="2"/>
    <s v="Analyst"/>
    <s v="David Miller"/>
    <x v="644"/>
    <n v="16"/>
    <n v="37"/>
    <n v="5"/>
    <n v="8"/>
    <d v="2019-04-20T00:00:00"/>
    <d v="2023-05-23T00:00:00"/>
  </r>
  <r>
    <x v="650"/>
    <n v="43"/>
    <s v="Male"/>
    <x v="1"/>
    <s v="Associate"/>
    <s v="David Miller"/>
    <x v="645"/>
    <n v="17"/>
    <n v="25"/>
    <n v="3"/>
    <n v="8"/>
    <d v="2018-07-26T00:00:00"/>
    <m/>
  </r>
  <r>
    <x v="651"/>
    <n v="45"/>
    <s v="Male"/>
    <x v="5"/>
    <s v="Specialist"/>
    <s v="David Miller"/>
    <x v="646"/>
    <n v="1"/>
    <n v="11"/>
    <n v="3"/>
    <n v="10"/>
    <d v="2015-07-07T00:00:00"/>
    <m/>
  </r>
  <r>
    <x v="652"/>
    <n v="24"/>
    <s v="Female"/>
    <x v="1"/>
    <s v="Specialist"/>
    <s v="Fatima Noor"/>
    <x v="647"/>
    <n v="12"/>
    <n v="43"/>
    <n v="3"/>
    <n v="7"/>
    <d v="2015-01-25T00:00:00"/>
    <m/>
  </r>
  <r>
    <x v="653"/>
    <n v="59"/>
    <s v="Female"/>
    <x v="4"/>
    <s v="Senior Analyst"/>
    <s v="Emily Brown"/>
    <x v="648"/>
    <n v="3"/>
    <n v="2"/>
    <n v="1"/>
    <n v="4"/>
    <d v="2023-08-09T00:00:00"/>
    <m/>
  </r>
  <r>
    <x v="654"/>
    <n v="28"/>
    <s v="Female"/>
    <x v="5"/>
    <s v="Manager"/>
    <s v="Fatima Noor"/>
    <x v="649"/>
    <n v="23"/>
    <n v="25"/>
    <n v="1"/>
    <n v="5"/>
    <d v="2017-06-08T00:00:00"/>
    <m/>
  </r>
  <r>
    <x v="655"/>
    <n v="50"/>
    <s v="Female"/>
    <x v="2"/>
    <s v="Manager"/>
    <s v="Sarah Lee"/>
    <x v="650"/>
    <n v="15"/>
    <n v="56"/>
    <n v="4"/>
    <n v="4"/>
    <d v="2022-05-08T00:00:00"/>
    <m/>
  </r>
  <r>
    <x v="656"/>
    <n v="37"/>
    <s v="Male"/>
    <x v="5"/>
    <s v="Manager"/>
    <s v="Ahmad Hassan"/>
    <x v="651"/>
    <n v="13"/>
    <n v="27"/>
    <n v="2"/>
    <n v="10"/>
    <d v="2022-09-17T00:00:00"/>
    <d v="2020-11-19T00:00:00"/>
  </r>
  <r>
    <x v="657"/>
    <n v="44"/>
    <s v="Male"/>
    <x v="2"/>
    <s v="Manager"/>
    <s v="David Miller"/>
    <x v="652"/>
    <n v="24"/>
    <n v="27"/>
    <n v="5"/>
    <n v="9"/>
    <d v="2024-10-11T00:00:00"/>
    <d v="2023-03-06T00:00:00"/>
  </r>
  <r>
    <x v="658"/>
    <n v="35"/>
    <s v="Male"/>
    <x v="3"/>
    <s v="Senior Analyst"/>
    <s v="Ahmad Hassan"/>
    <x v="653"/>
    <n v="30"/>
    <n v="53"/>
    <n v="5"/>
    <n v="8"/>
    <d v="2023-03-05T00:00:00"/>
    <d v="2023-08-24T00:00:00"/>
  </r>
  <r>
    <x v="659"/>
    <n v="55"/>
    <s v="Female"/>
    <x v="5"/>
    <s v="Analyst"/>
    <s v="Fatima Noor"/>
    <x v="654"/>
    <n v="30"/>
    <n v="42"/>
    <n v="2"/>
    <n v="2"/>
    <d v="2021-06-04T00:00:00"/>
    <m/>
  </r>
  <r>
    <x v="660"/>
    <n v="58"/>
    <s v="Male"/>
    <x v="1"/>
    <s v="Associate"/>
    <s v="David Miller"/>
    <x v="655"/>
    <n v="0"/>
    <n v="36"/>
    <n v="5"/>
    <n v="5"/>
    <d v="2015-10-04T00:00:00"/>
    <d v="2023-03-07T00:00:00"/>
  </r>
  <r>
    <x v="661"/>
    <n v="23"/>
    <s v="Female"/>
    <x v="3"/>
    <s v="Senior Analyst"/>
    <s v="Emily Brown"/>
    <x v="656"/>
    <n v="10"/>
    <n v="49"/>
    <n v="3"/>
    <n v="10"/>
    <d v="2020-06-23T00:00:00"/>
    <d v="2024-09-17T00:00:00"/>
  </r>
  <r>
    <x v="662"/>
    <n v="41"/>
    <s v="Male"/>
    <x v="2"/>
    <s v="Manager"/>
    <s v="David Miller"/>
    <x v="657"/>
    <n v="23"/>
    <n v="37"/>
    <n v="3"/>
    <n v="7"/>
    <d v="2017-07-25T00:00:00"/>
    <m/>
  </r>
  <r>
    <x v="663"/>
    <n v="59"/>
    <s v="Female"/>
    <x v="2"/>
    <s v="Associate"/>
    <s v="Sarah Lee"/>
    <x v="658"/>
    <n v="4"/>
    <n v="8"/>
    <n v="5"/>
    <n v="3"/>
    <d v="2021-11-12T00:00:00"/>
    <m/>
  </r>
  <r>
    <x v="664"/>
    <n v="60"/>
    <s v="Female"/>
    <x v="2"/>
    <s v="Specialist"/>
    <s v="Fatima Noor"/>
    <x v="659"/>
    <n v="14"/>
    <n v="51"/>
    <n v="4"/>
    <n v="1"/>
    <d v="2023-07-28T00:00:00"/>
    <m/>
  </r>
  <r>
    <x v="665"/>
    <n v="34"/>
    <s v="Male"/>
    <x v="0"/>
    <s v="Senior Analyst"/>
    <s v="Ahmad Hassan"/>
    <x v="660"/>
    <n v="3"/>
    <n v="10"/>
    <n v="4"/>
    <n v="7"/>
    <d v="2024-05-18T00:00:00"/>
    <m/>
  </r>
  <r>
    <x v="666"/>
    <n v="26"/>
    <s v="Male"/>
    <x v="2"/>
    <s v="Specialist"/>
    <s v="Ahmad Hassan"/>
    <x v="661"/>
    <n v="16"/>
    <n v="40"/>
    <n v="2"/>
    <n v="5"/>
    <d v="2021-09-01T00:00:00"/>
    <m/>
  </r>
  <r>
    <x v="667"/>
    <n v="50"/>
    <s v="Female"/>
    <x v="4"/>
    <s v="Manager"/>
    <s v="Emily Brown"/>
    <x v="662"/>
    <n v="11"/>
    <n v="51"/>
    <n v="3"/>
    <n v="9"/>
    <d v="2019-05-17T00:00:00"/>
    <d v="2022-10-15T00:00:00"/>
  </r>
  <r>
    <x v="668"/>
    <n v="23"/>
    <s v="Female"/>
    <x v="0"/>
    <s v="Manager"/>
    <s v="Emily Brown"/>
    <x v="663"/>
    <n v="15"/>
    <n v="19"/>
    <n v="2"/>
    <n v="3"/>
    <d v="2022-10-11T00:00:00"/>
    <d v="2018-07-24T00:00:00"/>
  </r>
  <r>
    <x v="669"/>
    <n v="36"/>
    <s v="Female"/>
    <x v="2"/>
    <s v="Senior Analyst"/>
    <s v="Fatima Noor"/>
    <x v="664"/>
    <n v="23"/>
    <n v="23"/>
    <m/>
    <n v="8"/>
    <d v="2018-09-11T00:00:00"/>
    <m/>
  </r>
  <r>
    <x v="670"/>
    <n v="31"/>
    <s v="Male"/>
    <x v="0"/>
    <s v="Specialist"/>
    <s v="Ahmad Hassan"/>
    <x v="665"/>
    <n v="5"/>
    <n v="59"/>
    <n v="3"/>
    <n v="9"/>
    <d v="2018-12-04T00:00:00"/>
    <d v="2023-05-12T00:00:00"/>
  </r>
  <r>
    <x v="671"/>
    <n v="38"/>
    <s v="Male"/>
    <x v="5"/>
    <s v="Senior Analyst"/>
    <s v="Omar Khalid"/>
    <x v="666"/>
    <n v="30"/>
    <n v="13"/>
    <m/>
    <n v="6"/>
    <d v="2021-05-10T00:00:00"/>
    <d v="2020-10-23T00:00:00"/>
  </r>
  <r>
    <x v="672"/>
    <n v="39"/>
    <s v="Female"/>
    <x v="1"/>
    <s v="Senior Analyst"/>
    <s v="Emily Brown"/>
    <x v="667"/>
    <n v="23"/>
    <n v="30"/>
    <n v="1"/>
    <n v="3"/>
    <d v="2019-09-07T00:00:00"/>
    <m/>
  </r>
  <r>
    <x v="673"/>
    <n v="42"/>
    <s v="Female"/>
    <x v="0"/>
    <s v="Analyst"/>
    <s v="Sarah Lee"/>
    <x v="668"/>
    <n v="26"/>
    <n v="44"/>
    <n v="3"/>
    <n v="5"/>
    <d v="2023-02-13T00:00:00"/>
    <m/>
  </r>
  <r>
    <x v="674"/>
    <n v="29"/>
    <s v="Female"/>
    <x v="3"/>
    <s v="Specialist"/>
    <s v="Fatima Noor"/>
    <x v="669"/>
    <n v="14"/>
    <n v="13"/>
    <m/>
    <n v="8"/>
    <d v="2018-07-09T00:00:00"/>
    <d v="2016-07-04T00:00:00"/>
  </r>
  <r>
    <x v="675"/>
    <n v="24"/>
    <s v="Male"/>
    <x v="3"/>
    <s v="Analyst"/>
    <s v="David Miller"/>
    <x v="670"/>
    <n v="1"/>
    <n v="5"/>
    <n v="2"/>
    <n v="3"/>
    <d v="2015-09-18T00:00:00"/>
    <d v="2019-08-02T00:00:00"/>
  </r>
  <r>
    <x v="676"/>
    <n v="34"/>
    <s v="Female"/>
    <x v="2"/>
    <s v="Specialist"/>
    <s v="Fatima Noor"/>
    <x v="671"/>
    <n v="27"/>
    <n v="31"/>
    <n v="4"/>
    <n v="2"/>
    <d v="2023-04-04T00:00:00"/>
    <d v="2020-05-14T00:00:00"/>
  </r>
  <r>
    <x v="677"/>
    <n v="25"/>
    <s v="Female"/>
    <x v="5"/>
    <s v="Manager"/>
    <s v="Sarah Lee"/>
    <x v="672"/>
    <n v="4"/>
    <n v="39"/>
    <n v="2"/>
    <n v="2"/>
    <d v="2022-05-10T00:00:00"/>
    <d v="2021-06-12T00:00:00"/>
  </r>
  <r>
    <x v="678"/>
    <n v="60"/>
    <s v="Female"/>
    <x v="5"/>
    <s v="Specialist"/>
    <s v="Emily Brown"/>
    <x v="673"/>
    <n v="18"/>
    <n v="10"/>
    <n v="3"/>
    <n v="7"/>
    <d v="2017-03-08T00:00:00"/>
    <m/>
  </r>
  <r>
    <x v="679"/>
    <n v="24"/>
    <s v="Male"/>
    <x v="0"/>
    <s v="Manager"/>
    <s v="John Carter"/>
    <x v="674"/>
    <n v="4"/>
    <n v="33"/>
    <n v="3"/>
    <n v="6"/>
    <d v="2017-06-20T00:00:00"/>
    <m/>
  </r>
  <r>
    <x v="680"/>
    <n v="49"/>
    <s v="Male"/>
    <x v="5"/>
    <s v="Manager"/>
    <s v="Ahmad Hassan"/>
    <x v="675"/>
    <n v="7"/>
    <n v="24"/>
    <n v="3"/>
    <n v="1"/>
    <d v="2022-06-05T00:00:00"/>
    <d v="2019-06-28T00:00:00"/>
  </r>
  <r>
    <x v="681"/>
    <n v="36"/>
    <s v="Male"/>
    <x v="2"/>
    <s v="Associate"/>
    <s v="Ahmad Hassan"/>
    <x v="676"/>
    <n v="1"/>
    <n v="8"/>
    <n v="4"/>
    <n v="6"/>
    <d v="2017-02-26T00:00:00"/>
    <m/>
  </r>
  <r>
    <x v="682"/>
    <n v="47"/>
    <s v="Female"/>
    <x v="5"/>
    <s v="Specialist"/>
    <s v="Fatima Noor"/>
    <x v="677"/>
    <n v="28"/>
    <n v="30"/>
    <n v="2"/>
    <n v="5"/>
    <d v="2021-03-04T00:00:00"/>
    <d v="2017-06-06T00:00:00"/>
  </r>
  <r>
    <x v="683"/>
    <n v="46"/>
    <s v="Male"/>
    <x v="5"/>
    <s v="Analyst"/>
    <s v="Ahmad Hassan"/>
    <x v="678"/>
    <n v="7"/>
    <n v="53"/>
    <m/>
    <n v="3"/>
    <d v="2024-03-21T00:00:00"/>
    <m/>
  </r>
  <r>
    <x v="684"/>
    <n v="32"/>
    <s v="Male"/>
    <x v="2"/>
    <s v="Specialist"/>
    <s v="Omar Khalid"/>
    <x v="679"/>
    <n v="30"/>
    <n v="11"/>
    <m/>
    <n v="1"/>
    <d v="2021-09-06T00:00:00"/>
    <m/>
  </r>
  <r>
    <x v="685"/>
    <n v="57"/>
    <s v="Male"/>
    <x v="5"/>
    <s v="Senior Analyst"/>
    <s v="John Carter"/>
    <x v="680"/>
    <n v="23"/>
    <n v="41"/>
    <m/>
    <n v="4"/>
    <d v="2020-12-15T00:00:00"/>
    <m/>
  </r>
  <r>
    <x v="686"/>
    <n v="53"/>
    <s v="Male"/>
    <x v="0"/>
    <s v="Analyst"/>
    <s v="John Carter"/>
    <x v="681"/>
    <n v="10"/>
    <n v="27"/>
    <n v="2"/>
    <n v="8"/>
    <d v="2018-08-10T00:00:00"/>
    <m/>
  </r>
  <r>
    <x v="687"/>
    <n v="37"/>
    <s v="Female"/>
    <x v="5"/>
    <s v="Senior Analyst"/>
    <s v="Emily Brown"/>
    <x v="682"/>
    <n v="18"/>
    <n v="14"/>
    <n v="4"/>
    <n v="9"/>
    <d v="2017-10-17T00:00:00"/>
    <m/>
  </r>
  <r>
    <x v="688"/>
    <n v="43"/>
    <s v="Male"/>
    <x v="4"/>
    <s v="Associate"/>
    <s v="Omar Khalid"/>
    <x v="683"/>
    <n v="6"/>
    <n v="34"/>
    <m/>
    <n v="6"/>
    <d v="2023-09-16T00:00:00"/>
    <m/>
  </r>
  <r>
    <x v="689"/>
    <n v="31"/>
    <s v="Female"/>
    <x v="1"/>
    <s v="Analyst"/>
    <s v="Sarah Lee"/>
    <x v="684"/>
    <n v="16"/>
    <n v="59"/>
    <n v="2"/>
    <n v="10"/>
    <d v="2021-02-02T00:00:00"/>
    <m/>
  </r>
  <r>
    <x v="690"/>
    <n v="30"/>
    <s v="Female"/>
    <x v="1"/>
    <s v="Associate"/>
    <s v="Emily Brown"/>
    <x v="685"/>
    <n v="19"/>
    <n v="7"/>
    <n v="2"/>
    <n v="2"/>
    <d v="2015-08-18T00:00:00"/>
    <d v="2020-12-08T00:00:00"/>
  </r>
  <r>
    <x v="691"/>
    <n v="59"/>
    <s v="Female"/>
    <x v="1"/>
    <s v="Manager"/>
    <s v="Sarah Lee"/>
    <x v="686"/>
    <n v="9"/>
    <n v="24"/>
    <n v="2"/>
    <n v="1"/>
    <d v="2019-04-16T00:00:00"/>
    <d v="2021-03-22T00:00:00"/>
  </r>
  <r>
    <x v="692"/>
    <n v="48"/>
    <s v="Male"/>
    <x v="3"/>
    <s v="Specialist"/>
    <s v="Omar Khalid"/>
    <x v="687"/>
    <n v="30"/>
    <n v="58"/>
    <n v="4"/>
    <n v="7"/>
    <d v="2015-10-02T00:00:00"/>
    <m/>
  </r>
  <r>
    <x v="693"/>
    <n v="33"/>
    <s v="Female"/>
    <x v="1"/>
    <s v="Manager"/>
    <s v="Sarah Lee"/>
    <x v="688"/>
    <n v="27"/>
    <n v="20"/>
    <n v="1"/>
    <n v="10"/>
    <d v="2023-12-22T00:00:00"/>
    <d v="2016-05-05T00:00:00"/>
  </r>
  <r>
    <x v="694"/>
    <n v="57"/>
    <s v="Female"/>
    <x v="2"/>
    <s v="Manager"/>
    <s v="Emily Brown"/>
    <x v="689"/>
    <n v="11"/>
    <n v="5"/>
    <n v="3"/>
    <n v="7"/>
    <d v="2023-07-04T00:00:00"/>
    <m/>
  </r>
  <r>
    <x v="695"/>
    <n v="56"/>
    <s v="Female"/>
    <x v="0"/>
    <s v="Associate"/>
    <s v="Sarah Lee"/>
    <x v="690"/>
    <n v="24"/>
    <n v="16"/>
    <n v="1"/>
    <n v="4"/>
    <d v="2018-12-17T00:00:00"/>
    <d v="2022-11-16T00:00:00"/>
  </r>
  <r>
    <x v="696"/>
    <n v="28"/>
    <s v="Female"/>
    <x v="0"/>
    <s v="Senior Analyst"/>
    <s v="Sarah Lee"/>
    <x v="691"/>
    <n v="15"/>
    <n v="28"/>
    <n v="5"/>
    <n v="6"/>
    <d v="2021-02-12T00:00:00"/>
    <m/>
  </r>
  <r>
    <x v="697"/>
    <n v="58"/>
    <s v="Female"/>
    <x v="0"/>
    <s v="Manager"/>
    <s v="Fatima Noor"/>
    <x v="692"/>
    <n v="12"/>
    <n v="1"/>
    <n v="5"/>
    <n v="8"/>
    <d v="2017-01-17T00:00:00"/>
    <m/>
  </r>
  <r>
    <x v="698"/>
    <n v="34"/>
    <s v="Male"/>
    <x v="0"/>
    <s v="Manager"/>
    <s v="Ahmad Hassan"/>
    <x v="693"/>
    <n v="28"/>
    <n v="22"/>
    <n v="2"/>
    <n v="8"/>
    <d v="2024-06-25T00:00:00"/>
    <d v="2024-01-18T00:00:00"/>
  </r>
  <r>
    <x v="699"/>
    <n v="52"/>
    <s v="Female"/>
    <x v="4"/>
    <s v="Associate"/>
    <s v="Fatima Noor"/>
    <x v="694"/>
    <n v="23"/>
    <n v="56"/>
    <m/>
    <n v="5"/>
    <d v="2024-08-19T00:00:00"/>
    <d v="2016-10-24T00:00:00"/>
  </r>
  <r>
    <x v="700"/>
    <n v="40"/>
    <s v="Female"/>
    <x v="5"/>
    <s v="Analyst"/>
    <s v="Fatima Noor"/>
    <x v="695"/>
    <n v="8"/>
    <n v="28"/>
    <n v="3"/>
    <n v="10"/>
    <d v="2022-07-05T00:00:00"/>
    <m/>
  </r>
  <r>
    <x v="701"/>
    <n v="50"/>
    <s v="Female"/>
    <x v="1"/>
    <s v="Manager"/>
    <s v="Sarah Lee"/>
    <x v="696"/>
    <n v="5"/>
    <n v="53"/>
    <n v="4"/>
    <n v="5"/>
    <d v="2016-03-06T00:00:00"/>
    <m/>
  </r>
  <r>
    <x v="702"/>
    <n v="22"/>
    <s v="Male"/>
    <x v="2"/>
    <s v="Senior Analyst"/>
    <s v="Ahmad Hassan"/>
    <x v="697"/>
    <n v="10"/>
    <n v="20"/>
    <n v="5"/>
    <n v="9"/>
    <d v="2016-12-28T00:00:00"/>
    <m/>
  </r>
  <r>
    <x v="703"/>
    <n v="23"/>
    <s v="Female"/>
    <x v="2"/>
    <s v="Analyst"/>
    <s v="Emily Brown"/>
    <x v="698"/>
    <n v="8"/>
    <n v="28"/>
    <m/>
    <n v="4"/>
    <d v="2015-04-13T00:00:00"/>
    <m/>
  </r>
  <r>
    <x v="704"/>
    <n v="35"/>
    <s v="Female"/>
    <x v="4"/>
    <s v="Manager"/>
    <s v="Fatima Noor"/>
    <x v="699"/>
    <n v="5"/>
    <n v="51"/>
    <n v="4"/>
    <n v="6"/>
    <d v="2016-05-12T00:00:00"/>
    <m/>
  </r>
  <r>
    <x v="705"/>
    <n v="36"/>
    <s v="Female"/>
    <x v="1"/>
    <s v="Senior Analyst"/>
    <s v="Fatima Noor"/>
    <x v="700"/>
    <n v="14"/>
    <n v="34"/>
    <n v="2"/>
    <n v="10"/>
    <d v="2023-05-17T00:00:00"/>
    <m/>
  </r>
  <r>
    <x v="706"/>
    <n v="46"/>
    <s v="Female"/>
    <x v="5"/>
    <s v="Specialist"/>
    <s v="Sarah Lee"/>
    <x v="701"/>
    <n v="6"/>
    <n v="25"/>
    <n v="1"/>
    <n v="3"/>
    <d v="2021-07-22T00:00:00"/>
    <m/>
  </r>
  <r>
    <x v="707"/>
    <n v="43"/>
    <s v="Male"/>
    <x v="0"/>
    <s v="Associate"/>
    <s v="Ahmad Hassan"/>
    <x v="702"/>
    <n v="11"/>
    <n v="31"/>
    <n v="5"/>
    <n v="8"/>
    <d v="2016-04-06T00:00:00"/>
    <m/>
  </r>
  <r>
    <x v="708"/>
    <n v="45"/>
    <s v="Male"/>
    <x v="0"/>
    <s v="Specialist"/>
    <s v="Omar Khalid"/>
    <x v="703"/>
    <n v="16"/>
    <n v="21"/>
    <n v="1"/>
    <n v="2"/>
    <d v="2020-10-17T00:00:00"/>
    <m/>
  </r>
  <r>
    <x v="709"/>
    <n v="40"/>
    <s v="Male"/>
    <x v="1"/>
    <s v="Manager"/>
    <s v="David Miller"/>
    <x v="704"/>
    <n v="15"/>
    <n v="2"/>
    <n v="3"/>
    <n v="5"/>
    <d v="2017-01-15T00:00:00"/>
    <d v="2019-04-14T00:00:00"/>
  </r>
  <r>
    <x v="710"/>
    <n v="46"/>
    <s v="Male"/>
    <x v="2"/>
    <s v="Manager"/>
    <s v="Ahmad Hassan"/>
    <x v="705"/>
    <n v="11"/>
    <n v="25"/>
    <m/>
    <n v="3"/>
    <d v="2020-05-02T00:00:00"/>
    <m/>
  </r>
  <r>
    <x v="711"/>
    <n v="42"/>
    <s v="Female"/>
    <x v="5"/>
    <s v="Manager"/>
    <s v="Emily Brown"/>
    <x v="706"/>
    <n v="24"/>
    <n v="43"/>
    <n v="5"/>
    <n v="10"/>
    <d v="2023-11-21T00:00:00"/>
    <m/>
  </r>
  <r>
    <x v="712"/>
    <n v="46"/>
    <s v="Female"/>
    <x v="5"/>
    <s v="Specialist"/>
    <s v="Emily Brown"/>
    <x v="707"/>
    <n v="12"/>
    <n v="2"/>
    <n v="4"/>
    <n v="9"/>
    <d v="2015-06-13T00:00:00"/>
    <m/>
  </r>
  <r>
    <x v="713"/>
    <n v="24"/>
    <s v="Female"/>
    <x v="2"/>
    <s v="Senior Analyst"/>
    <s v="Fatima Noor"/>
    <x v="708"/>
    <n v="28"/>
    <n v="8"/>
    <n v="2"/>
    <n v="7"/>
    <d v="2022-07-15T00:00:00"/>
    <m/>
  </r>
  <r>
    <x v="714"/>
    <n v="31"/>
    <s v="Male"/>
    <x v="4"/>
    <s v="Manager"/>
    <s v="David Miller"/>
    <x v="709"/>
    <n v="29"/>
    <n v="36"/>
    <n v="5"/>
    <n v="1"/>
    <d v="2020-02-25T00:00:00"/>
    <m/>
  </r>
  <r>
    <x v="715"/>
    <n v="30"/>
    <s v="Male"/>
    <x v="0"/>
    <s v="Senior Analyst"/>
    <s v="Ahmad Hassan"/>
    <x v="710"/>
    <n v="5"/>
    <n v="12"/>
    <n v="2"/>
    <n v="9"/>
    <d v="2023-10-26T00:00:00"/>
    <d v="2019-11-24T00:00:00"/>
  </r>
  <r>
    <x v="716"/>
    <n v="22"/>
    <s v="Male"/>
    <x v="5"/>
    <s v="Analyst"/>
    <s v="John Carter"/>
    <x v="711"/>
    <n v="7"/>
    <n v="9"/>
    <m/>
    <n v="10"/>
    <d v="2020-07-27T00:00:00"/>
    <m/>
  </r>
  <r>
    <x v="717"/>
    <n v="40"/>
    <s v="Female"/>
    <x v="5"/>
    <s v="Manager"/>
    <s v="Emily Brown"/>
    <x v="712"/>
    <n v="27"/>
    <n v="56"/>
    <n v="3"/>
    <n v="1"/>
    <d v="2018-08-28T00:00:00"/>
    <m/>
  </r>
  <r>
    <x v="718"/>
    <n v="33"/>
    <s v="Male"/>
    <x v="2"/>
    <s v="Associate"/>
    <s v="John Carter"/>
    <x v="713"/>
    <n v="1"/>
    <n v="54"/>
    <n v="2"/>
    <n v="5"/>
    <d v="2022-09-16T00:00:00"/>
    <m/>
  </r>
  <r>
    <x v="719"/>
    <n v="23"/>
    <s v="Female"/>
    <x v="5"/>
    <s v="Senior Analyst"/>
    <s v="Sarah Lee"/>
    <x v="714"/>
    <n v="7"/>
    <n v="41"/>
    <n v="3"/>
    <n v="8"/>
    <d v="2015-07-04T00:00:00"/>
    <d v="2020-12-25T00:00:00"/>
  </r>
  <r>
    <x v="720"/>
    <n v="34"/>
    <s v="Male"/>
    <x v="4"/>
    <s v="Specialist"/>
    <s v="Omar Khalid"/>
    <x v="715"/>
    <n v="8"/>
    <n v="4"/>
    <n v="5"/>
    <n v="3"/>
    <d v="2016-04-10T00:00:00"/>
    <m/>
  </r>
  <r>
    <x v="721"/>
    <n v="51"/>
    <s v="Female"/>
    <x v="4"/>
    <s v="Associate"/>
    <s v="Sarah Lee"/>
    <x v="716"/>
    <n v="9"/>
    <n v="43"/>
    <n v="1"/>
    <n v="1"/>
    <d v="2024-09-13T00:00:00"/>
    <m/>
  </r>
  <r>
    <x v="722"/>
    <n v="53"/>
    <s v="Female"/>
    <x v="0"/>
    <s v="Specialist"/>
    <s v="Sarah Lee"/>
    <x v="717"/>
    <n v="6"/>
    <n v="4"/>
    <n v="1"/>
    <n v="6"/>
    <d v="2021-01-03T00:00:00"/>
    <m/>
  </r>
  <r>
    <x v="723"/>
    <n v="24"/>
    <s v="Female"/>
    <x v="2"/>
    <s v="Associate"/>
    <s v="Sarah Lee"/>
    <x v="718"/>
    <n v="15"/>
    <n v="29"/>
    <n v="1"/>
    <n v="8"/>
    <d v="2024-01-20T00:00:00"/>
    <m/>
  </r>
  <r>
    <x v="724"/>
    <n v="45"/>
    <s v="Male"/>
    <x v="3"/>
    <s v="Associate"/>
    <s v="Ahmad Hassan"/>
    <x v="719"/>
    <n v="21"/>
    <n v="11"/>
    <n v="3"/>
    <n v="3"/>
    <d v="2023-06-27T00:00:00"/>
    <m/>
  </r>
  <r>
    <x v="725"/>
    <n v="30"/>
    <s v="Male"/>
    <x v="0"/>
    <s v="Specialist"/>
    <s v="Omar Khalid"/>
    <x v="720"/>
    <n v="6"/>
    <n v="34"/>
    <n v="3"/>
    <n v="4"/>
    <d v="2016-08-24T00:00:00"/>
    <m/>
  </r>
  <r>
    <x v="726"/>
    <n v="33"/>
    <s v="Male"/>
    <x v="3"/>
    <s v="Manager"/>
    <s v="Omar Khalid"/>
    <x v="721"/>
    <n v="2"/>
    <n v="46"/>
    <m/>
    <n v="3"/>
    <d v="2021-05-19T00:00:00"/>
    <d v="2021-09-28T00:00:00"/>
  </r>
  <r>
    <x v="727"/>
    <n v="49"/>
    <s v="Female"/>
    <x v="5"/>
    <s v="Senior Analyst"/>
    <s v="Fatima Noor"/>
    <x v="722"/>
    <n v="18"/>
    <n v="50"/>
    <n v="4"/>
    <n v="6"/>
    <d v="2022-11-27T00:00:00"/>
    <d v="2018-06-02T00:00:00"/>
  </r>
  <r>
    <x v="728"/>
    <n v="55"/>
    <s v="Male"/>
    <x v="5"/>
    <s v="Manager"/>
    <s v="Ahmad Hassan"/>
    <x v="723"/>
    <n v="1"/>
    <n v="37"/>
    <m/>
    <n v="8"/>
    <d v="2017-07-19T00:00:00"/>
    <m/>
  </r>
  <r>
    <x v="729"/>
    <n v="22"/>
    <s v="Male"/>
    <x v="2"/>
    <s v="Analyst"/>
    <s v="Ahmad Hassan"/>
    <x v="724"/>
    <n v="25"/>
    <n v="34"/>
    <n v="3"/>
    <n v="10"/>
    <d v="2022-02-12T00:00:00"/>
    <d v="2017-07-17T00:00:00"/>
  </r>
  <r>
    <x v="730"/>
    <n v="23"/>
    <s v="Female"/>
    <x v="2"/>
    <s v="Associate"/>
    <s v="Fatima Noor"/>
    <x v="725"/>
    <n v="29"/>
    <n v="54"/>
    <n v="2"/>
    <n v="2"/>
    <d v="2015-11-12T00:00:00"/>
    <m/>
  </r>
  <r>
    <x v="731"/>
    <n v="53"/>
    <s v="Male"/>
    <x v="0"/>
    <s v="Associate"/>
    <s v="John Carter"/>
    <x v="726"/>
    <n v="2"/>
    <n v="14"/>
    <n v="2"/>
    <n v="7"/>
    <d v="2022-03-12T00:00:00"/>
    <m/>
  </r>
  <r>
    <x v="732"/>
    <n v="59"/>
    <s v="Male"/>
    <x v="2"/>
    <s v="Manager"/>
    <s v="Omar Khalid"/>
    <x v="727"/>
    <n v="9"/>
    <n v="51"/>
    <n v="3"/>
    <n v="6"/>
    <d v="2019-08-04T00:00:00"/>
    <m/>
  </r>
  <r>
    <x v="733"/>
    <n v="52"/>
    <s v="Female"/>
    <x v="0"/>
    <s v="Manager"/>
    <s v="Fatima Noor"/>
    <x v="537"/>
    <n v="5"/>
    <n v="14"/>
    <n v="1"/>
    <n v="10"/>
    <d v="2023-08-23T00:00:00"/>
    <m/>
  </r>
  <r>
    <x v="734"/>
    <n v="59"/>
    <s v="Male"/>
    <x v="2"/>
    <s v="Senior Analyst"/>
    <s v="Omar Khalid"/>
    <x v="536"/>
    <n v="11"/>
    <n v="9"/>
    <n v="3"/>
    <n v="1"/>
    <d v="2017-01-09T00:00:00"/>
    <m/>
  </r>
  <r>
    <x v="735"/>
    <n v="55"/>
    <s v="Male"/>
    <x v="0"/>
    <s v="Specialist"/>
    <s v="David Miller"/>
    <x v="728"/>
    <n v="3"/>
    <n v="58"/>
    <n v="3"/>
    <n v="5"/>
    <d v="2024-03-13T00:00:00"/>
    <m/>
  </r>
  <r>
    <x v="736"/>
    <n v="57"/>
    <s v="Female"/>
    <x v="5"/>
    <s v="Manager"/>
    <s v="Sarah Lee"/>
    <x v="729"/>
    <n v="11"/>
    <n v="59"/>
    <m/>
    <n v="2"/>
    <d v="2018-08-03T00:00:00"/>
    <m/>
  </r>
  <r>
    <x v="737"/>
    <n v="49"/>
    <s v="Male"/>
    <x v="1"/>
    <s v="Specialist"/>
    <s v="Ahmad Hassan"/>
    <x v="730"/>
    <n v="23"/>
    <n v="45"/>
    <n v="4"/>
    <n v="5"/>
    <d v="2015-01-09T00:00:00"/>
    <d v="2020-05-11T00:00:00"/>
  </r>
  <r>
    <x v="738"/>
    <n v="30"/>
    <s v="Female"/>
    <x v="0"/>
    <s v="Associate"/>
    <s v="Fatima Noor"/>
    <x v="731"/>
    <n v="23"/>
    <n v="13"/>
    <m/>
    <n v="8"/>
    <d v="2018-08-21T00:00:00"/>
    <m/>
  </r>
  <r>
    <x v="739"/>
    <n v="26"/>
    <s v="Female"/>
    <x v="4"/>
    <s v="Senior Analyst"/>
    <s v="Fatima Noor"/>
    <x v="732"/>
    <n v="15"/>
    <n v="43"/>
    <n v="4"/>
    <n v="5"/>
    <d v="2024-08-13T00:00:00"/>
    <m/>
  </r>
  <r>
    <x v="740"/>
    <n v="44"/>
    <s v="Male"/>
    <x v="4"/>
    <s v="Senior Analyst"/>
    <s v="Ahmad Hassan"/>
    <x v="733"/>
    <n v="1"/>
    <n v="55"/>
    <m/>
    <n v="4"/>
    <d v="2021-09-08T00:00:00"/>
    <m/>
  </r>
  <r>
    <x v="741"/>
    <n v="48"/>
    <s v="Female"/>
    <x v="5"/>
    <s v="Associate"/>
    <s v="Sarah Lee"/>
    <x v="734"/>
    <n v="4"/>
    <n v="0"/>
    <n v="4"/>
    <n v="10"/>
    <d v="2020-01-12T00:00:00"/>
    <m/>
  </r>
  <r>
    <x v="742"/>
    <n v="41"/>
    <s v="Male"/>
    <x v="1"/>
    <s v="Associate"/>
    <s v="David Miller"/>
    <x v="735"/>
    <n v="14"/>
    <n v="48"/>
    <n v="1"/>
    <n v="1"/>
    <d v="2020-06-06T00:00:00"/>
    <d v="2024-10-17T00:00:00"/>
  </r>
  <r>
    <x v="743"/>
    <n v="44"/>
    <s v="Male"/>
    <x v="5"/>
    <s v="Senior Analyst"/>
    <s v="John Carter"/>
    <x v="736"/>
    <n v="4"/>
    <n v="54"/>
    <n v="2"/>
    <n v="5"/>
    <d v="2020-10-22T00:00:00"/>
    <m/>
  </r>
  <r>
    <x v="744"/>
    <n v="53"/>
    <s v="Male"/>
    <x v="5"/>
    <s v="Associate"/>
    <s v="Omar Khalid"/>
    <x v="737"/>
    <n v="28"/>
    <n v="59"/>
    <n v="5"/>
    <n v="9"/>
    <d v="2018-11-02T00:00:00"/>
    <m/>
  </r>
  <r>
    <x v="745"/>
    <n v="32"/>
    <s v="Female"/>
    <x v="2"/>
    <s v="Manager"/>
    <s v="Emily Brown"/>
    <x v="738"/>
    <n v="12"/>
    <n v="14"/>
    <m/>
    <n v="6"/>
    <d v="2017-10-24T00:00:00"/>
    <m/>
  </r>
  <r>
    <x v="746"/>
    <n v="24"/>
    <s v="Female"/>
    <x v="0"/>
    <s v="Specialist"/>
    <s v="Sarah Lee"/>
    <x v="739"/>
    <n v="9"/>
    <n v="10"/>
    <n v="4"/>
    <n v="10"/>
    <d v="2019-08-15T00:00:00"/>
    <m/>
  </r>
  <r>
    <x v="747"/>
    <n v="45"/>
    <s v="Female"/>
    <x v="5"/>
    <s v="Senior Analyst"/>
    <s v="Sarah Lee"/>
    <x v="740"/>
    <n v="4"/>
    <n v="43"/>
    <n v="4"/>
    <n v="6"/>
    <d v="2017-01-26T00:00:00"/>
    <d v="2018-04-01T00:00:00"/>
  </r>
  <r>
    <x v="748"/>
    <n v="60"/>
    <s v="Male"/>
    <x v="5"/>
    <s v="Senior Analyst"/>
    <s v="David Miller"/>
    <x v="741"/>
    <n v="14"/>
    <n v="13"/>
    <n v="4"/>
    <n v="6"/>
    <d v="2017-10-23T00:00:00"/>
    <m/>
  </r>
  <r>
    <x v="749"/>
    <n v="23"/>
    <s v="Male"/>
    <x v="0"/>
    <s v="Senior Analyst"/>
    <s v="John Carter"/>
    <x v="742"/>
    <n v="18"/>
    <n v="0"/>
    <n v="4"/>
    <n v="2"/>
    <d v="2021-05-28T00:00:00"/>
    <m/>
  </r>
  <r>
    <x v="750"/>
    <n v="23"/>
    <s v="Female"/>
    <x v="2"/>
    <s v="Senior Analyst"/>
    <s v="Emily Brown"/>
    <x v="743"/>
    <n v="21"/>
    <n v="47"/>
    <n v="5"/>
    <n v="3"/>
    <d v="2021-01-07T00:00:00"/>
    <d v="2019-01-03T00:00:00"/>
  </r>
  <r>
    <x v="751"/>
    <n v="59"/>
    <s v="Female"/>
    <x v="5"/>
    <s v="Manager"/>
    <s v="Sarah Lee"/>
    <x v="744"/>
    <n v="19"/>
    <n v="21"/>
    <n v="5"/>
    <n v="7"/>
    <d v="2022-06-08T00:00:00"/>
    <m/>
  </r>
  <r>
    <x v="752"/>
    <n v="48"/>
    <s v="Female"/>
    <x v="0"/>
    <s v="Analyst"/>
    <s v="Fatima Noor"/>
    <x v="745"/>
    <n v="3"/>
    <n v="49"/>
    <n v="1"/>
    <n v="5"/>
    <d v="2020-11-28T00:00:00"/>
    <d v="2021-12-04T00:00:00"/>
  </r>
  <r>
    <x v="753"/>
    <n v="38"/>
    <s v="Female"/>
    <x v="2"/>
    <s v="Analyst"/>
    <s v="Sarah Lee"/>
    <x v="746"/>
    <n v="7"/>
    <n v="19"/>
    <n v="5"/>
    <n v="9"/>
    <d v="2018-05-26T00:00:00"/>
    <m/>
  </r>
  <r>
    <x v="754"/>
    <n v="46"/>
    <s v="Female"/>
    <x v="2"/>
    <s v="Specialist"/>
    <s v="Emily Brown"/>
    <x v="747"/>
    <n v="17"/>
    <n v="17"/>
    <n v="5"/>
    <n v="6"/>
    <d v="2024-09-25T00:00:00"/>
    <m/>
  </r>
  <r>
    <x v="755"/>
    <n v="27"/>
    <s v="Male"/>
    <x v="1"/>
    <s v="Specialist"/>
    <s v="David Miller"/>
    <x v="748"/>
    <n v="14"/>
    <n v="20"/>
    <m/>
    <n v="1"/>
    <d v="2015-04-16T00:00:00"/>
    <m/>
  </r>
  <r>
    <x v="756"/>
    <n v="25"/>
    <s v="Male"/>
    <x v="0"/>
    <s v="Specialist"/>
    <s v="John Carter"/>
    <x v="749"/>
    <n v="7"/>
    <n v="28"/>
    <n v="2"/>
    <n v="6"/>
    <d v="2019-06-09T00:00:00"/>
    <m/>
  </r>
  <r>
    <x v="757"/>
    <n v="43"/>
    <s v="Male"/>
    <x v="2"/>
    <s v="Manager"/>
    <s v="Ahmad Hassan"/>
    <x v="750"/>
    <n v="0"/>
    <n v="10"/>
    <n v="3"/>
    <n v="1"/>
    <d v="2020-03-10T00:00:00"/>
    <m/>
  </r>
  <r>
    <x v="758"/>
    <n v="32"/>
    <s v="Female"/>
    <x v="4"/>
    <s v="Analyst"/>
    <s v="Sarah Lee"/>
    <x v="751"/>
    <n v="15"/>
    <n v="32"/>
    <n v="4"/>
    <n v="3"/>
    <d v="2016-11-10T00:00:00"/>
    <m/>
  </r>
  <r>
    <x v="759"/>
    <n v="27"/>
    <s v="Female"/>
    <x v="2"/>
    <s v="Analyst"/>
    <s v="Emily Brown"/>
    <x v="752"/>
    <n v="19"/>
    <n v="12"/>
    <m/>
    <n v="8"/>
    <d v="2023-07-08T00:00:00"/>
    <m/>
  </r>
  <r>
    <x v="760"/>
    <n v="36"/>
    <s v="Female"/>
    <x v="1"/>
    <s v="Senior Analyst"/>
    <s v="Fatima Noor"/>
    <x v="753"/>
    <n v="16"/>
    <n v="59"/>
    <n v="3"/>
    <n v="1"/>
    <d v="2021-06-06T00:00:00"/>
    <d v="2017-07-28T00:00:00"/>
  </r>
  <r>
    <x v="761"/>
    <n v="43"/>
    <s v="Male"/>
    <x v="3"/>
    <s v="Manager"/>
    <s v="Ahmad Hassan"/>
    <x v="754"/>
    <n v="9"/>
    <n v="12"/>
    <m/>
    <n v="2"/>
    <d v="2018-10-11T00:00:00"/>
    <m/>
  </r>
  <r>
    <x v="762"/>
    <n v="23"/>
    <s v="Male"/>
    <x v="5"/>
    <s v="Specialist"/>
    <s v="Omar Khalid"/>
    <x v="755"/>
    <n v="17"/>
    <n v="25"/>
    <m/>
    <n v="7"/>
    <d v="2019-10-24T00:00:00"/>
    <d v="2018-08-09T00:00:00"/>
  </r>
  <r>
    <x v="763"/>
    <n v="41"/>
    <s v="Female"/>
    <x v="3"/>
    <s v="Senior Analyst"/>
    <s v="Fatima Noor"/>
    <x v="756"/>
    <n v="3"/>
    <n v="15"/>
    <n v="4"/>
    <n v="10"/>
    <d v="2019-03-26T00:00:00"/>
    <m/>
  </r>
  <r>
    <x v="764"/>
    <n v="60"/>
    <s v="Female"/>
    <x v="2"/>
    <s v="Associate"/>
    <s v="Sarah Lee"/>
    <x v="757"/>
    <n v="28"/>
    <n v="36"/>
    <n v="3"/>
    <n v="3"/>
    <d v="2024-06-06T00:00:00"/>
    <d v="2020-10-05T00:00:00"/>
  </r>
  <r>
    <x v="765"/>
    <n v="44"/>
    <s v="Female"/>
    <x v="2"/>
    <s v="Specialist"/>
    <s v="Sarah Lee"/>
    <x v="758"/>
    <n v="0"/>
    <n v="44"/>
    <n v="5"/>
    <n v="7"/>
    <d v="2024-08-21T00:00:00"/>
    <m/>
  </r>
  <r>
    <x v="766"/>
    <n v="53"/>
    <s v="Male"/>
    <x v="1"/>
    <s v="Manager"/>
    <s v="Ahmad Hassan"/>
    <x v="759"/>
    <n v="16"/>
    <n v="43"/>
    <n v="3"/>
    <n v="10"/>
    <d v="2024-08-13T00:00:00"/>
    <d v="2023-02-23T00:00:00"/>
  </r>
  <r>
    <x v="767"/>
    <n v="41"/>
    <s v="Female"/>
    <x v="3"/>
    <s v="Specialist"/>
    <s v="Emily Brown"/>
    <x v="760"/>
    <n v="26"/>
    <n v="3"/>
    <n v="5"/>
    <n v="6"/>
    <d v="2020-01-27T00:00:00"/>
    <m/>
  </r>
  <r>
    <x v="768"/>
    <n v="57"/>
    <s v="Female"/>
    <x v="1"/>
    <s v="Senior Analyst"/>
    <s v="Sarah Lee"/>
    <x v="761"/>
    <n v="9"/>
    <n v="45"/>
    <n v="2"/>
    <n v="10"/>
    <d v="2018-03-05T00:00:00"/>
    <m/>
  </r>
  <r>
    <x v="769"/>
    <n v="54"/>
    <s v="Female"/>
    <x v="0"/>
    <s v="Senior Analyst"/>
    <s v="Emily Brown"/>
    <x v="762"/>
    <n v="17"/>
    <n v="53"/>
    <n v="5"/>
    <n v="7"/>
    <d v="2022-01-14T00:00:00"/>
    <m/>
  </r>
  <r>
    <x v="770"/>
    <n v="27"/>
    <s v="Male"/>
    <x v="1"/>
    <s v="Associate"/>
    <s v="David Miller"/>
    <x v="763"/>
    <n v="23"/>
    <n v="10"/>
    <n v="3"/>
    <n v="6"/>
    <d v="2016-02-19T00:00:00"/>
    <m/>
  </r>
  <r>
    <x v="771"/>
    <n v="60"/>
    <s v="Male"/>
    <x v="4"/>
    <s v="Senior Analyst"/>
    <s v="John Carter"/>
    <x v="764"/>
    <n v="9"/>
    <n v="55"/>
    <n v="5"/>
    <n v="8"/>
    <d v="2019-11-16T00:00:00"/>
    <m/>
  </r>
  <r>
    <x v="772"/>
    <n v="22"/>
    <s v="Male"/>
    <x v="2"/>
    <s v="Senior Analyst"/>
    <s v="David Miller"/>
    <x v="765"/>
    <n v="23"/>
    <n v="6"/>
    <n v="2"/>
    <n v="1"/>
    <d v="2021-06-18T00:00:00"/>
    <m/>
  </r>
  <r>
    <x v="773"/>
    <n v="44"/>
    <s v="Female"/>
    <x v="2"/>
    <s v="Senior Analyst"/>
    <s v="Emily Brown"/>
    <x v="766"/>
    <n v="11"/>
    <n v="29"/>
    <n v="3"/>
    <n v="4"/>
    <d v="2019-07-10T00:00:00"/>
    <m/>
  </r>
  <r>
    <x v="774"/>
    <n v="45"/>
    <s v="Male"/>
    <x v="4"/>
    <s v="Specialist"/>
    <s v="David Miller"/>
    <x v="767"/>
    <n v="6"/>
    <n v="12"/>
    <n v="1"/>
    <n v="5"/>
    <d v="2020-05-18T00:00:00"/>
    <m/>
  </r>
  <r>
    <x v="775"/>
    <n v="57"/>
    <s v="Female"/>
    <x v="5"/>
    <s v="Manager"/>
    <s v="Sarah Lee"/>
    <x v="768"/>
    <n v="7"/>
    <n v="18"/>
    <n v="5"/>
    <n v="1"/>
    <d v="2019-11-11T00:00:00"/>
    <m/>
  </r>
  <r>
    <x v="776"/>
    <n v="58"/>
    <s v="Female"/>
    <x v="1"/>
    <s v="Senior Analyst"/>
    <s v="Fatima Noor"/>
    <x v="769"/>
    <n v="2"/>
    <n v="30"/>
    <n v="4"/>
    <n v="9"/>
    <d v="2023-04-20T00:00:00"/>
    <m/>
  </r>
  <r>
    <x v="777"/>
    <n v="57"/>
    <s v="Male"/>
    <x v="3"/>
    <s v="Senior Analyst"/>
    <s v="David Miller"/>
    <x v="770"/>
    <n v="21"/>
    <n v="13"/>
    <n v="3"/>
    <n v="3"/>
    <d v="2024-01-13T00:00:00"/>
    <m/>
  </r>
  <r>
    <x v="778"/>
    <n v="23"/>
    <s v="Male"/>
    <x v="2"/>
    <s v="Specialist"/>
    <s v="Ahmad Hassan"/>
    <x v="771"/>
    <n v="13"/>
    <n v="23"/>
    <n v="2"/>
    <n v="10"/>
    <d v="2021-09-27T00:00:00"/>
    <m/>
  </r>
  <r>
    <x v="779"/>
    <n v="44"/>
    <s v="Male"/>
    <x v="0"/>
    <s v="Senior Analyst"/>
    <s v="John Carter"/>
    <x v="772"/>
    <n v="0"/>
    <n v="47"/>
    <n v="2"/>
    <n v="5"/>
    <d v="2016-11-20T00:00:00"/>
    <m/>
  </r>
  <r>
    <x v="780"/>
    <n v="35"/>
    <s v="Male"/>
    <x v="0"/>
    <s v="Analyst"/>
    <s v="Ahmad Hassan"/>
    <x v="773"/>
    <n v="1"/>
    <n v="12"/>
    <n v="4"/>
    <n v="5"/>
    <d v="2021-05-21T00:00:00"/>
    <d v="2016-04-03T00:00:00"/>
  </r>
  <r>
    <x v="781"/>
    <n v="39"/>
    <s v="Female"/>
    <x v="2"/>
    <s v="Associate"/>
    <s v="Emily Brown"/>
    <x v="774"/>
    <n v="13"/>
    <n v="0"/>
    <m/>
    <n v="7"/>
    <d v="2023-02-08T00:00:00"/>
    <m/>
  </r>
  <r>
    <x v="782"/>
    <n v="52"/>
    <s v="Female"/>
    <x v="1"/>
    <s v="Senior Analyst"/>
    <s v="Sarah Lee"/>
    <x v="775"/>
    <n v="8"/>
    <n v="42"/>
    <n v="1"/>
    <n v="1"/>
    <d v="2020-04-07T00:00:00"/>
    <d v="2021-08-10T00:00:00"/>
  </r>
  <r>
    <x v="783"/>
    <n v="22"/>
    <s v="Female"/>
    <x v="5"/>
    <s v="Specialist"/>
    <s v="Emily Brown"/>
    <x v="776"/>
    <n v="25"/>
    <n v="19"/>
    <n v="1"/>
    <n v="3"/>
    <d v="2021-10-18T00:00:00"/>
    <m/>
  </r>
  <r>
    <x v="784"/>
    <n v="60"/>
    <s v="Female"/>
    <x v="0"/>
    <s v="Analyst"/>
    <s v="Sarah Lee"/>
    <x v="777"/>
    <n v="15"/>
    <n v="39"/>
    <n v="2"/>
    <n v="4"/>
    <d v="2018-04-04T00:00:00"/>
    <d v="2020-06-24T00:00:00"/>
  </r>
  <r>
    <x v="785"/>
    <n v="23"/>
    <s v="Female"/>
    <x v="2"/>
    <s v="Senior Analyst"/>
    <s v="Fatima Noor"/>
    <x v="778"/>
    <n v="5"/>
    <n v="54"/>
    <n v="4"/>
    <n v="1"/>
    <d v="2023-05-07T00:00:00"/>
    <d v="2022-09-28T00:00:00"/>
  </r>
  <r>
    <x v="786"/>
    <n v="42"/>
    <s v="Male"/>
    <x v="5"/>
    <s v="Associate"/>
    <s v="Omar Khalid"/>
    <x v="779"/>
    <n v="7"/>
    <n v="41"/>
    <n v="5"/>
    <n v="9"/>
    <d v="2019-03-01T00:00:00"/>
    <m/>
  </r>
  <r>
    <x v="787"/>
    <n v="49"/>
    <s v="Male"/>
    <x v="0"/>
    <s v="Manager"/>
    <s v="Ahmad Hassan"/>
    <x v="780"/>
    <n v="30"/>
    <n v="1"/>
    <n v="2"/>
    <n v="10"/>
    <d v="2021-09-25T00:00:00"/>
    <m/>
  </r>
  <r>
    <x v="788"/>
    <n v="31"/>
    <s v="Female"/>
    <x v="1"/>
    <s v="Senior Analyst"/>
    <s v="Sarah Lee"/>
    <x v="781"/>
    <n v="12"/>
    <n v="20"/>
    <n v="1"/>
    <n v="6"/>
    <d v="2018-10-11T00:00:00"/>
    <m/>
  </r>
  <r>
    <x v="789"/>
    <n v="40"/>
    <s v="Female"/>
    <x v="4"/>
    <s v="Manager"/>
    <s v="Fatima Noor"/>
    <x v="782"/>
    <n v="18"/>
    <n v="48"/>
    <n v="5"/>
    <n v="6"/>
    <d v="2018-08-27T00:00:00"/>
    <m/>
  </r>
  <r>
    <x v="790"/>
    <n v="48"/>
    <s v="Male"/>
    <x v="4"/>
    <s v="Associate"/>
    <s v="Omar Khalid"/>
    <x v="783"/>
    <n v="20"/>
    <n v="44"/>
    <n v="1"/>
    <n v="3"/>
    <d v="2017-05-15T00:00:00"/>
    <m/>
  </r>
  <r>
    <x v="791"/>
    <n v="41"/>
    <s v="Female"/>
    <x v="5"/>
    <s v="Associate"/>
    <s v="Sarah Lee"/>
    <x v="784"/>
    <n v="2"/>
    <n v="15"/>
    <n v="3"/>
    <n v="9"/>
    <d v="2024-01-04T00:00:00"/>
    <d v="2016-03-27T00:00:00"/>
  </r>
  <r>
    <x v="792"/>
    <n v="41"/>
    <s v="Male"/>
    <x v="5"/>
    <s v="Associate"/>
    <s v="Omar Khalid"/>
    <x v="785"/>
    <n v="14"/>
    <n v="43"/>
    <m/>
    <n v="10"/>
    <d v="2019-10-27T00:00:00"/>
    <m/>
  </r>
  <r>
    <x v="793"/>
    <n v="33"/>
    <s v="Female"/>
    <x v="1"/>
    <s v="Senior Analyst"/>
    <s v="Sarah Lee"/>
    <x v="786"/>
    <n v="22"/>
    <n v="28"/>
    <n v="2"/>
    <n v="3"/>
    <d v="2018-07-12T00:00:00"/>
    <m/>
  </r>
  <r>
    <x v="794"/>
    <n v="40"/>
    <s v="Female"/>
    <x v="2"/>
    <s v="Specialist"/>
    <s v="Sarah Lee"/>
    <x v="787"/>
    <n v="22"/>
    <n v="12"/>
    <n v="3"/>
    <n v="10"/>
    <d v="2021-03-08T00:00:00"/>
    <m/>
  </r>
  <r>
    <x v="795"/>
    <n v="21"/>
    <s v="Male"/>
    <x v="0"/>
    <s v="Specialist"/>
    <s v="Ahmad Hassan"/>
    <x v="788"/>
    <n v="30"/>
    <n v="44"/>
    <n v="5"/>
    <n v="4"/>
    <d v="2022-08-18T00:00:00"/>
    <m/>
  </r>
  <r>
    <x v="796"/>
    <n v="50"/>
    <s v="Male"/>
    <x v="0"/>
    <s v="Analyst"/>
    <s v="Omar Khalid"/>
    <x v="789"/>
    <n v="27"/>
    <n v="42"/>
    <n v="1"/>
    <n v="1"/>
    <d v="2018-07-24T00:00:00"/>
    <d v="2022-05-05T00:00:00"/>
  </r>
  <r>
    <x v="797"/>
    <n v="23"/>
    <s v="Male"/>
    <x v="1"/>
    <s v="Specialist"/>
    <s v="Ahmad Hassan"/>
    <x v="790"/>
    <n v="18"/>
    <n v="25"/>
    <n v="1"/>
    <n v="1"/>
    <d v="2024-07-08T00:00:00"/>
    <m/>
  </r>
  <r>
    <x v="798"/>
    <n v="34"/>
    <s v="Male"/>
    <x v="5"/>
    <s v="Manager"/>
    <s v="David Miller"/>
    <x v="791"/>
    <n v="2"/>
    <n v="14"/>
    <n v="5"/>
    <n v="6"/>
    <d v="2015-03-08T00:00:00"/>
    <m/>
  </r>
  <r>
    <x v="799"/>
    <n v="54"/>
    <s v="Male"/>
    <x v="0"/>
    <s v="Manager"/>
    <s v="Ahmad Hassan"/>
    <x v="792"/>
    <n v="18"/>
    <n v="48"/>
    <n v="2"/>
    <n v="10"/>
    <d v="2024-12-18T00:00:00"/>
    <m/>
  </r>
  <r>
    <x v="800"/>
    <n v="60"/>
    <s v="Male"/>
    <x v="4"/>
    <s v="Specialist"/>
    <s v="Omar Khalid"/>
    <x v="793"/>
    <n v="21"/>
    <n v="15"/>
    <n v="2"/>
    <n v="7"/>
    <d v="2017-01-03T00:00:00"/>
    <d v="2021-08-09T00:00:00"/>
  </r>
  <r>
    <x v="801"/>
    <n v="28"/>
    <s v="Male"/>
    <x v="4"/>
    <s v="Senior Analyst"/>
    <s v="John Carter"/>
    <x v="794"/>
    <n v="7"/>
    <n v="33"/>
    <n v="3"/>
    <n v="4"/>
    <d v="2022-09-24T00:00:00"/>
    <d v="2021-08-06T00:00:00"/>
  </r>
  <r>
    <x v="802"/>
    <n v="21"/>
    <s v="Female"/>
    <x v="2"/>
    <s v="Specialist"/>
    <s v="Emily Brown"/>
    <x v="795"/>
    <n v="27"/>
    <n v="54"/>
    <m/>
    <n v="2"/>
    <d v="2019-09-16T00:00:00"/>
    <m/>
  </r>
  <r>
    <x v="803"/>
    <n v="26"/>
    <s v="Female"/>
    <x v="1"/>
    <s v="Specialist"/>
    <s v="Sarah Lee"/>
    <x v="796"/>
    <n v="17"/>
    <n v="22"/>
    <n v="2"/>
    <n v="4"/>
    <d v="2020-04-04T00:00:00"/>
    <m/>
  </r>
  <r>
    <x v="804"/>
    <n v="40"/>
    <s v="Male"/>
    <x v="4"/>
    <s v="Specialist"/>
    <s v="Omar Khalid"/>
    <x v="797"/>
    <n v="1"/>
    <n v="18"/>
    <n v="5"/>
    <n v="7"/>
    <d v="2022-04-06T00:00:00"/>
    <m/>
  </r>
  <r>
    <x v="805"/>
    <n v="41"/>
    <s v="Female"/>
    <x v="5"/>
    <s v="Analyst"/>
    <s v="Fatima Noor"/>
    <x v="798"/>
    <n v="26"/>
    <n v="14"/>
    <n v="3"/>
    <n v="8"/>
    <d v="2024-03-27T00:00:00"/>
    <d v="2020-10-27T00:00:00"/>
  </r>
  <r>
    <x v="806"/>
    <n v="47"/>
    <s v="Female"/>
    <x v="2"/>
    <s v="Specialist"/>
    <s v="Fatima Noor"/>
    <x v="799"/>
    <n v="30"/>
    <n v="24"/>
    <n v="1"/>
    <n v="9"/>
    <d v="2020-09-28T00:00:00"/>
    <d v="2023-11-26T00:00:00"/>
  </r>
  <r>
    <x v="807"/>
    <n v="24"/>
    <s v="Male"/>
    <x v="4"/>
    <s v="Analyst"/>
    <s v="John Carter"/>
    <x v="800"/>
    <n v="20"/>
    <n v="22"/>
    <n v="3"/>
    <n v="5"/>
    <d v="2021-12-15T00:00:00"/>
    <d v="2022-12-24T00:00:00"/>
  </r>
  <r>
    <x v="808"/>
    <n v="31"/>
    <s v="Female"/>
    <x v="1"/>
    <s v="Specialist"/>
    <s v="Fatima Noor"/>
    <x v="801"/>
    <n v="10"/>
    <n v="6"/>
    <n v="2"/>
    <n v="2"/>
    <d v="2019-11-09T00:00:00"/>
    <m/>
  </r>
  <r>
    <x v="809"/>
    <n v="41"/>
    <s v="Female"/>
    <x v="0"/>
    <s v="Associate"/>
    <s v="Fatima Noor"/>
    <x v="802"/>
    <n v="5"/>
    <n v="57"/>
    <n v="3"/>
    <n v="3"/>
    <d v="2017-11-25T00:00:00"/>
    <m/>
  </r>
  <r>
    <x v="810"/>
    <n v="53"/>
    <s v="Female"/>
    <x v="5"/>
    <s v="Analyst"/>
    <s v="Fatima Noor"/>
    <x v="803"/>
    <n v="8"/>
    <n v="38"/>
    <n v="4"/>
    <n v="5"/>
    <d v="2018-07-19T00:00:00"/>
    <m/>
  </r>
  <r>
    <x v="811"/>
    <n v="27"/>
    <s v="Male"/>
    <x v="5"/>
    <s v="Senior Analyst"/>
    <s v="John Carter"/>
    <x v="804"/>
    <n v="27"/>
    <n v="36"/>
    <n v="3"/>
    <n v="5"/>
    <d v="2016-09-14T00:00:00"/>
    <d v="2024-08-04T00:00:00"/>
  </r>
  <r>
    <x v="812"/>
    <n v="24"/>
    <s v="Female"/>
    <x v="1"/>
    <s v="Senior Analyst"/>
    <s v="Sarah Lee"/>
    <x v="805"/>
    <n v="28"/>
    <n v="53"/>
    <n v="3"/>
    <n v="6"/>
    <d v="2023-05-15T00:00:00"/>
    <d v="2020-06-01T00:00:00"/>
  </r>
  <r>
    <x v="813"/>
    <n v="47"/>
    <s v="Male"/>
    <x v="2"/>
    <s v="Senior Analyst"/>
    <s v="David Miller"/>
    <x v="806"/>
    <n v="0"/>
    <n v="16"/>
    <n v="3"/>
    <n v="10"/>
    <d v="2019-05-15T00:00:00"/>
    <m/>
  </r>
  <r>
    <x v="814"/>
    <n v="27"/>
    <s v="Female"/>
    <x v="5"/>
    <s v="Associate"/>
    <s v="Fatima Noor"/>
    <x v="807"/>
    <n v="13"/>
    <n v="43"/>
    <n v="5"/>
    <n v="6"/>
    <d v="2022-02-18T00:00:00"/>
    <m/>
  </r>
  <r>
    <x v="815"/>
    <n v="27"/>
    <s v="Female"/>
    <x v="2"/>
    <s v="Senior Analyst"/>
    <s v="Emily Brown"/>
    <x v="808"/>
    <n v="14"/>
    <n v="50"/>
    <n v="5"/>
    <n v="4"/>
    <d v="2015-10-17T00:00:00"/>
    <m/>
  </r>
  <r>
    <x v="816"/>
    <n v="46"/>
    <s v="Male"/>
    <x v="5"/>
    <s v="Senior Analyst"/>
    <s v="John Carter"/>
    <x v="809"/>
    <n v="12"/>
    <n v="0"/>
    <m/>
    <n v="9"/>
    <d v="2016-10-27T00:00:00"/>
    <d v="2021-09-21T00:00:00"/>
  </r>
  <r>
    <x v="817"/>
    <n v="41"/>
    <s v="Female"/>
    <x v="1"/>
    <s v="Specialist"/>
    <s v="Emily Brown"/>
    <x v="810"/>
    <n v="22"/>
    <n v="54"/>
    <n v="5"/>
    <n v="5"/>
    <d v="2015-08-17T00:00:00"/>
    <m/>
  </r>
  <r>
    <x v="818"/>
    <n v="57"/>
    <s v="Female"/>
    <x v="2"/>
    <s v="Manager"/>
    <s v="Sarah Lee"/>
    <x v="811"/>
    <n v="13"/>
    <n v="53"/>
    <m/>
    <n v="5"/>
    <d v="2019-02-10T00:00:00"/>
    <d v="2018-11-28T00:00:00"/>
  </r>
  <r>
    <x v="819"/>
    <n v="28"/>
    <s v="Female"/>
    <x v="0"/>
    <s v="Analyst"/>
    <s v="Emily Brown"/>
    <x v="812"/>
    <n v="28"/>
    <n v="16"/>
    <m/>
    <n v="6"/>
    <d v="2019-04-20T00:00:00"/>
    <m/>
  </r>
  <r>
    <x v="820"/>
    <n v="29"/>
    <s v="Male"/>
    <x v="5"/>
    <s v="Manager"/>
    <s v="Omar Khalid"/>
    <x v="813"/>
    <n v="25"/>
    <n v="3"/>
    <m/>
    <n v="9"/>
    <d v="2023-12-08T00:00:00"/>
    <d v="2019-04-05T00:00:00"/>
  </r>
  <r>
    <x v="821"/>
    <n v="54"/>
    <s v="Female"/>
    <x v="1"/>
    <s v="Associate"/>
    <s v="Sarah Lee"/>
    <x v="814"/>
    <n v="18"/>
    <n v="24"/>
    <n v="1"/>
    <n v="7"/>
    <d v="2021-06-23T00:00:00"/>
    <m/>
  </r>
  <r>
    <x v="822"/>
    <n v="57"/>
    <s v="Female"/>
    <x v="5"/>
    <s v="Specialist"/>
    <s v="Sarah Lee"/>
    <x v="752"/>
    <n v="5"/>
    <n v="14"/>
    <n v="5"/>
    <n v="1"/>
    <d v="2017-10-12T00:00:00"/>
    <d v="2016-04-13T00:00:00"/>
  </r>
  <r>
    <x v="823"/>
    <n v="53"/>
    <s v="Female"/>
    <x v="4"/>
    <s v="Specialist"/>
    <s v="Fatima Noor"/>
    <x v="815"/>
    <n v="4"/>
    <n v="8"/>
    <n v="2"/>
    <n v="8"/>
    <d v="2023-03-27T00:00:00"/>
    <m/>
  </r>
  <r>
    <x v="824"/>
    <n v="56"/>
    <s v="Female"/>
    <x v="4"/>
    <s v="Analyst"/>
    <s v="Sarah Lee"/>
    <x v="816"/>
    <n v="23"/>
    <n v="20"/>
    <n v="2"/>
    <n v="5"/>
    <d v="2020-06-11T00:00:00"/>
    <m/>
  </r>
  <r>
    <x v="825"/>
    <n v="41"/>
    <s v="Female"/>
    <x v="5"/>
    <s v="Specialist"/>
    <s v="Sarah Lee"/>
    <x v="817"/>
    <n v="19"/>
    <n v="45"/>
    <m/>
    <n v="1"/>
    <d v="2022-09-27T00:00:00"/>
    <d v="2023-07-26T00:00:00"/>
  </r>
  <r>
    <x v="826"/>
    <n v="40"/>
    <s v="Female"/>
    <x v="2"/>
    <s v="Senior Analyst"/>
    <s v="Sarah Lee"/>
    <x v="818"/>
    <n v="10"/>
    <n v="27"/>
    <n v="1"/>
    <n v="8"/>
    <d v="2021-12-26T00:00:00"/>
    <m/>
  </r>
  <r>
    <x v="827"/>
    <n v="31"/>
    <s v="Female"/>
    <x v="2"/>
    <s v="Associate"/>
    <s v="Emily Brown"/>
    <x v="819"/>
    <n v="11"/>
    <n v="12"/>
    <m/>
    <n v="5"/>
    <d v="2019-01-10T00:00:00"/>
    <m/>
  </r>
  <r>
    <x v="828"/>
    <n v="23"/>
    <s v="Male"/>
    <x v="5"/>
    <s v="Specialist"/>
    <s v="David Miller"/>
    <x v="820"/>
    <n v="27"/>
    <n v="7"/>
    <n v="2"/>
    <n v="1"/>
    <d v="2021-10-15T00:00:00"/>
    <m/>
  </r>
  <r>
    <x v="829"/>
    <n v="33"/>
    <s v="Female"/>
    <x v="5"/>
    <s v="Specialist"/>
    <s v="Emily Brown"/>
    <x v="821"/>
    <n v="16"/>
    <n v="47"/>
    <m/>
    <n v="10"/>
    <d v="2020-08-06T00:00:00"/>
    <m/>
  </r>
  <r>
    <x v="830"/>
    <n v="37"/>
    <s v="Male"/>
    <x v="0"/>
    <s v="Specialist"/>
    <s v="Ahmad Hassan"/>
    <x v="822"/>
    <n v="16"/>
    <n v="17"/>
    <n v="3"/>
    <n v="4"/>
    <d v="2016-12-16T00:00:00"/>
    <m/>
  </r>
  <r>
    <x v="831"/>
    <n v="59"/>
    <s v="Male"/>
    <x v="5"/>
    <s v="Senior Analyst"/>
    <s v="Ahmad Hassan"/>
    <x v="823"/>
    <n v="3"/>
    <n v="38"/>
    <n v="5"/>
    <n v="7"/>
    <d v="2019-04-22T00:00:00"/>
    <m/>
  </r>
  <r>
    <x v="832"/>
    <n v="21"/>
    <s v="Female"/>
    <x v="4"/>
    <s v="Analyst"/>
    <s v="Sarah Lee"/>
    <x v="824"/>
    <n v="19"/>
    <n v="3"/>
    <n v="4"/>
    <n v="1"/>
    <d v="2023-10-26T00:00:00"/>
    <d v="2020-01-04T00:00:00"/>
  </r>
  <r>
    <x v="833"/>
    <n v="54"/>
    <s v="Female"/>
    <x v="5"/>
    <s v="Specialist"/>
    <s v="Fatima Noor"/>
    <x v="825"/>
    <n v="6"/>
    <n v="5"/>
    <n v="1"/>
    <n v="10"/>
    <d v="2015-03-20T00:00:00"/>
    <m/>
  </r>
  <r>
    <x v="834"/>
    <n v="39"/>
    <s v="Female"/>
    <x v="5"/>
    <s v="Associate"/>
    <s v="Emily Brown"/>
    <x v="826"/>
    <n v="30"/>
    <n v="44"/>
    <n v="1"/>
    <n v="6"/>
    <d v="2018-05-16T00:00:00"/>
    <m/>
  </r>
  <r>
    <x v="835"/>
    <n v="26"/>
    <s v="Male"/>
    <x v="3"/>
    <s v="Associate"/>
    <s v="Ahmad Hassan"/>
    <x v="827"/>
    <n v="21"/>
    <n v="45"/>
    <n v="3"/>
    <n v="9"/>
    <d v="2021-05-01T00:00:00"/>
    <m/>
  </r>
  <r>
    <x v="836"/>
    <n v="49"/>
    <s v="Male"/>
    <x v="1"/>
    <s v="Senior Analyst"/>
    <s v="Omar Khalid"/>
    <x v="828"/>
    <n v="29"/>
    <n v="37"/>
    <n v="5"/>
    <n v="4"/>
    <d v="2018-04-19T00:00:00"/>
    <d v="2017-07-05T00:00:00"/>
  </r>
  <r>
    <x v="837"/>
    <n v="40"/>
    <s v="Male"/>
    <x v="4"/>
    <s v="Senior Analyst"/>
    <s v="Ahmad Hassan"/>
    <x v="829"/>
    <n v="15"/>
    <n v="59"/>
    <n v="1"/>
    <n v="8"/>
    <d v="2019-10-11T00:00:00"/>
    <m/>
  </r>
  <r>
    <x v="838"/>
    <n v="48"/>
    <s v="Male"/>
    <x v="5"/>
    <s v="Analyst"/>
    <s v="John Carter"/>
    <x v="830"/>
    <n v="18"/>
    <n v="18"/>
    <m/>
    <n v="8"/>
    <d v="2018-07-18T00:00:00"/>
    <m/>
  </r>
  <r>
    <x v="839"/>
    <n v="59"/>
    <s v="Male"/>
    <x v="1"/>
    <s v="Senior Analyst"/>
    <s v="Ahmad Hassan"/>
    <x v="831"/>
    <n v="12"/>
    <n v="24"/>
    <n v="3"/>
    <n v="1"/>
    <d v="2017-03-18T00:00:00"/>
    <m/>
  </r>
  <r>
    <x v="840"/>
    <n v="25"/>
    <s v="Female"/>
    <x v="2"/>
    <s v="Associate"/>
    <s v="Sarah Lee"/>
    <x v="832"/>
    <n v="5"/>
    <n v="9"/>
    <n v="3"/>
    <n v="2"/>
    <d v="2020-09-15T00:00:00"/>
    <m/>
  </r>
  <r>
    <x v="841"/>
    <n v="40"/>
    <s v="Male"/>
    <x v="3"/>
    <s v="Specialist"/>
    <s v="David Miller"/>
    <x v="833"/>
    <n v="9"/>
    <n v="24"/>
    <n v="1"/>
    <n v="6"/>
    <d v="2019-11-02T00:00:00"/>
    <m/>
  </r>
  <r>
    <x v="842"/>
    <n v="53"/>
    <s v="Male"/>
    <x v="4"/>
    <s v="Manager"/>
    <s v="John Carter"/>
    <x v="834"/>
    <n v="1"/>
    <n v="31"/>
    <n v="4"/>
    <n v="3"/>
    <d v="2022-06-23T00:00:00"/>
    <d v="2023-11-13T00:00:00"/>
  </r>
  <r>
    <x v="843"/>
    <n v="33"/>
    <s v="Male"/>
    <x v="1"/>
    <s v="Manager"/>
    <s v="Ahmad Hassan"/>
    <x v="835"/>
    <n v="28"/>
    <n v="19"/>
    <n v="2"/>
    <n v="7"/>
    <d v="2019-05-15T00:00:00"/>
    <m/>
  </r>
  <r>
    <x v="844"/>
    <n v="41"/>
    <s v="Male"/>
    <x v="5"/>
    <s v="Senior Analyst"/>
    <s v="David Miller"/>
    <x v="836"/>
    <n v="10"/>
    <n v="10"/>
    <n v="5"/>
    <n v="5"/>
    <d v="2020-10-23T00:00:00"/>
    <m/>
  </r>
  <r>
    <x v="845"/>
    <n v="33"/>
    <s v="Male"/>
    <x v="4"/>
    <s v="Senior Analyst"/>
    <s v="Ahmad Hassan"/>
    <x v="837"/>
    <n v="6"/>
    <n v="31"/>
    <n v="3"/>
    <n v="5"/>
    <d v="2015-07-23T00:00:00"/>
    <m/>
  </r>
  <r>
    <x v="846"/>
    <n v="59"/>
    <s v="Female"/>
    <x v="1"/>
    <s v="Manager"/>
    <s v="Emily Brown"/>
    <x v="838"/>
    <n v="24"/>
    <n v="6"/>
    <m/>
    <n v="5"/>
    <d v="2023-02-06T00:00:00"/>
    <d v="2016-06-07T00:00:00"/>
  </r>
  <r>
    <x v="847"/>
    <n v="54"/>
    <s v="Female"/>
    <x v="5"/>
    <s v="Senior Analyst"/>
    <s v="Fatima Noor"/>
    <x v="839"/>
    <n v="18"/>
    <n v="24"/>
    <m/>
    <n v="7"/>
    <d v="2024-01-01T00:00:00"/>
    <d v="2019-10-22T00:00:00"/>
  </r>
  <r>
    <x v="848"/>
    <n v="26"/>
    <s v="Male"/>
    <x v="0"/>
    <s v="Manager"/>
    <s v="John Carter"/>
    <x v="840"/>
    <n v="20"/>
    <n v="42"/>
    <n v="2"/>
    <n v="9"/>
    <d v="2020-08-18T00:00:00"/>
    <d v="2017-04-01T00:00:00"/>
  </r>
  <r>
    <x v="849"/>
    <n v="33"/>
    <s v="Male"/>
    <x v="1"/>
    <s v="Senior Analyst"/>
    <s v="David Miller"/>
    <x v="841"/>
    <n v="16"/>
    <n v="13"/>
    <m/>
    <n v="5"/>
    <d v="2024-01-07T00:00:00"/>
    <m/>
  </r>
  <r>
    <x v="850"/>
    <n v="28"/>
    <s v="Male"/>
    <x v="2"/>
    <s v="Senior Analyst"/>
    <s v="David Miller"/>
    <x v="842"/>
    <n v="26"/>
    <n v="29"/>
    <m/>
    <n v="1"/>
    <d v="2021-03-17T00:00:00"/>
    <m/>
  </r>
  <r>
    <x v="851"/>
    <n v="34"/>
    <s v="Female"/>
    <x v="0"/>
    <s v="Manager"/>
    <s v="Sarah Lee"/>
    <x v="843"/>
    <n v="1"/>
    <n v="8"/>
    <n v="1"/>
    <n v="8"/>
    <d v="2020-05-20T00:00:00"/>
    <d v="2020-02-23T00:00:00"/>
  </r>
  <r>
    <x v="852"/>
    <n v="24"/>
    <s v="Female"/>
    <x v="3"/>
    <s v="Manager"/>
    <s v="Fatima Noor"/>
    <x v="844"/>
    <n v="1"/>
    <n v="46"/>
    <n v="3"/>
    <n v="3"/>
    <d v="2017-03-14T00:00:00"/>
    <d v="2022-01-03T00:00:00"/>
  </r>
  <r>
    <x v="853"/>
    <n v="41"/>
    <s v="Male"/>
    <x v="4"/>
    <s v="Associate"/>
    <s v="David Miller"/>
    <x v="845"/>
    <n v="19"/>
    <n v="0"/>
    <n v="5"/>
    <n v="1"/>
    <d v="2019-06-17T00:00:00"/>
    <m/>
  </r>
  <r>
    <x v="854"/>
    <n v="47"/>
    <s v="Female"/>
    <x v="0"/>
    <s v="Associate"/>
    <s v="Sarah Lee"/>
    <x v="846"/>
    <n v="28"/>
    <n v="40"/>
    <n v="5"/>
    <n v="3"/>
    <d v="2023-08-17T00:00:00"/>
    <d v="2019-11-03T00:00:00"/>
  </r>
  <r>
    <x v="855"/>
    <n v="32"/>
    <s v="Male"/>
    <x v="4"/>
    <s v="Specialist"/>
    <s v="Ahmad Hassan"/>
    <x v="847"/>
    <n v="17"/>
    <n v="28"/>
    <n v="5"/>
    <n v="8"/>
    <d v="2021-03-06T00:00:00"/>
    <d v="2016-07-27T00:00:00"/>
  </r>
  <r>
    <x v="856"/>
    <n v="24"/>
    <s v="Male"/>
    <x v="5"/>
    <s v="Associate"/>
    <s v="David Miller"/>
    <x v="848"/>
    <n v="5"/>
    <n v="8"/>
    <n v="2"/>
    <n v="8"/>
    <d v="2023-02-24T00:00:00"/>
    <m/>
  </r>
  <r>
    <x v="857"/>
    <n v="25"/>
    <s v="Female"/>
    <x v="1"/>
    <s v="Manager"/>
    <s v="Emily Brown"/>
    <x v="849"/>
    <n v="2"/>
    <n v="18"/>
    <m/>
    <n v="9"/>
    <d v="2024-09-22T00:00:00"/>
    <m/>
  </r>
  <r>
    <x v="858"/>
    <n v="45"/>
    <s v="Male"/>
    <x v="0"/>
    <s v="Senior Analyst"/>
    <s v="John Carter"/>
    <x v="850"/>
    <n v="11"/>
    <n v="41"/>
    <n v="1"/>
    <n v="2"/>
    <d v="2024-06-23T00:00:00"/>
    <d v="2018-09-09T00:00:00"/>
  </r>
  <r>
    <x v="859"/>
    <n v="56"/>
    <s v="Female"/>
    <x v="1"/>
    <s v="Manager"/>
    <s v="Sarah Lee"/>
    <x v="851"/>
    <n v="9"/>
    <n v="56"/>
    <n v="5"/>
    <n v="7"/>
    <d v="2016-08-13T00:00:00"/>
    <m/>
  </r>
  <r>
    <x v="860"/>
    <n v="39"/>
    <s v="Male"/>
    <x v="0"/>
    <s v="Specialist"/>
    <s v="Omar Khalid"/>
    <x v="852"/>
    <n v="22"/>
    <n v="35"/>
    <n v="5"/>
    <n v="7"/>
    <d v="2018-08-23T00:00:00"/>
    <m/>
  </r>
  <r>
    <x v="861"/>
    <n v="48"/>
    <s v="Female"/>
    <x v="5"/>
    <s v="Analyst"/>
    <s v="Emily Brown"/>
    <x v="853"/>
    <n v="13"/>
    <n v="2"/>
    <n v="1"/>
    <n v="1"/>
    <d v="2020-06-17T00:00:00"/>
    <m/>
  </r>
  <r>
    <x v="862"/>
    <n v="36"/>
    <s v="Female"/>
    <x v="4"/>
    <s v="Associate"/>
    <s v="Sarah Lee"/>
    <x v="854"/>
    <n v="15"/>
    <n v="44"/>
    <n v="1"/>
    <n v="4"/>
    <d v="2024-03-19T00:00:00"/>
    <m/>
  </r>
  <r>
    <x v="863"/>
    <n v="41"/>
    <s v="Female"/>
    <x v="2"/>
    <s v="Associate"/>
    <s v="Emily Brown"/>
    <x v="855"/>
    <n v="8"/>
    <n v="43"/>
    <n v="3"/>
    <n v="8"/>
    <d v="2015-10-22T00:00:00"/>
    <m/>
  </r>
  <r>
    <x v="864"/>
    <n v="35"/>
    <s v="Male"/>
    <x v="1"/>
    <s v="Manager"/>
    <s v="David Miller"/>
    <x v="856"/>
    <n v="9"/>
    <n v="35"/>
    <m/>
    <n v="9"/>
    <d v="2023-01-26T00:00:00"/>
    <m/>
  </r>
  <r>
    <x v="865"/>
    <n v="34"/>
    <s v="Male"/>
    <x v="0"/>
    <s v="Manager"/>
    <s v="David Miller"/>
    <x v="857"/>
    <n v="15"/>
    <n v="11"/>
    <n v="5"/>
    <n v="6"/>
    <d v="2018-01-08T00:00:00"/>
    <m/>
  </r>
  <r>
    <x v="866"/>
    <n v="30"/>
    <s v="Male"/>
    <x v="0"/>
    <s v="Specialist"/>
    <s v="Ahmad Hassan"/>
    <x v="858"/>
    <n v="13"/>
    <n v="34"/>
    <n v="4"/>
    <n v="2"/>
    <d v="2015-06-01T00:00:00"/>
    <m/>
  </r>
  <r>
    <x v="867"/>
    <n v="49"/>
    <s v="Male"/>
    <x v="2"/>
    <s v="Associate"/>
    <s v="Omar Khalid"/>
    <x v="859"/>
    <n v="29"/>
    <n v="56"/>
    <n v="3"/>
    <n v="6"/>
    <d v="2021-08-20T00:00:00"/>
    <m/>
  </r>
  <r>
    <x v="868"/>
    <n v="39"/>
    <s v="Male"/>
    <x v="5"/>
    <s v="Analyst"/>
    <s v="John Carter"/>
    <x v="860"/>
    <n v="11"/>
    <n v="33"/>
    <n v="3"/>
    <n v="7"/>
    <d v="2023-07-26T00:00:00"/>
    <m/>
  </r>
  <r>
    <x v="869"/>
    <n v="26"/>
    <s v="Female"/>
    <x v="1"/>
    <s v="Manager"/>
    <s v="Fatima Noor"/>
    <x v="861"/>
    <n v="7"/>
    <n v="16"/>
    <n v="3"/>
    <n v="8"/>
    <d v="2021-01-15T00:00:00"/>
    <m/>
  </r>
  <r>
    <x v="870"/>
    <n v="39"/>
    <s v="Male"/>
    <x v="2"/>
    <s v="Associate"/>
    <s v="David Miller"/>
    <x v="862"/>
    <n v="8"/>
    <n v="9"/>
    <n v="3"/>
    <n v="4"/>
    <d v="2019-08-18T00:00:00"/>
    <m/>
  </r>
  <r>
    <x v="871"/>
    <n v="46"/>
    <s v="Male"/>
    <x v="1"/>
    <s v="Senior Analyst"/>
    <s v="Omar Khalid"/>
    <x v="863"/>
    <n v="18"/>
    <n v="59"/>
    <m/>
    <n v="7"/>
    <d v="2024-01-13T00:00:00"/>
    <m/>
  </r>
  <r>
    <x v="872"/>
    <n v="49"/>
    <s v="Female"/>
    <x v="0"/>
    <s v="Senior Analyst"/>
    <s v="Fatima Noor"/>
    <x v="864"/>
    <n v="14"/>
    <n v="39"/>
    <n v="2"/>
    <n v="2"/>
    <d v="2020-04-05T00:00:00"/>
    <d v="2021-09-04T00:00:00"/>
  </r>
  <r>
    <x v="873"/>
    <n v="51"/>
    <s v="Male"/>
    <x v="0"/>
    <s v="Specialist"/>
    <s v="Ahmad Hassan"/>
    <x v="865"/>
    <n v="10"/>
    <n v="26"/>
    <n v="1"/>
    <n v="6"/>
    <d v="2021-10-16T00:00:00"/>
    <d v="2021-07-03T00:00:00"/>
  </r>
  <r>
    <x v="874"/>
    <n v="25"/>
    <s v="Male"/>
    <x v="3"/>
    <s v="Specialist"/>
    <s v="David Miller"/>
    <x v="866"/>
    <n v="4"/>
    <n v="31"/>
    <n v="4"/>
    <n v="5"/>
    <d v="2015-02-20T00:00:00"/>
    <m/>
  </r>
  <r>
    <x v="875"/>
    <n v="56"/>
    <s v="Female"/>
    <x v="1"/>
    <s v="Associate"/>
    <s v="Sarah Lee"/>
    <x v="867"/>
    <n v="29"/>
    <n v="9"/>
    <n v="2"/>
    <n v="4"/>
    <d v="2017-05-28T00:00:00"/>
    <d v="2021-10-20T00:00:00"/>
  </r>
  <r>
    <x v="876"/>
    <n v="57"/>
    <s v="Female"/>
    <x v="1"/>
    <s v="Senior Analyst"/>
    <s v="Fatima Noor"/>
    <x v="868"/>
    <n v="11"/>
    <n v="33"/>
    <m/>
    <n v="3"/>
    <d v="2020-04-11T00:00:00"/>
    <m/>
  </r>
  <r>
    <x v="877"/>
    <n v="32"/>
    <s v="Male"/>
    <x v="3"/>
    <s v="Manager"/>
    <s v="David Miller"/>
    <x v="869"/>
    <n v="18"/>
    <n v="4"/>
    <n v="1"/>
    <n v="1"/>
    <d v="2024-11-14T00:00:00"/>
    <d v="2019-12-13T00:00:00"/>
  </r>
  <r>
    <x v="878"/>
    <n v="33"/>
    <s v="Female"/>
    <x v="4"/>
    <s v="Manager"/>
    <s v="Fatima Noor"/>
    <x v="870"/>
    <n v="10"/>
    <n v="24"/>
    <m/>
    <n v="6"/>
    <d v="2024-02-15T00:00:00"/>
    <m/>
  </r>
  <r>
    <x v="879"/>
    <n v="53"/>
    <s v="Female"/>
    <x v="1"/>
    <s v="Specialist"/>
    <s v="Fatima Noor"/>
    <x v="871"/>
    <n v="30"/>
    <n v="22"/>
    <n v="3"/>
    <n v="7"/>
    <d v="2019-04-05T00:00:00"/>
    <m/>
  </r>
  <r>
    <x v="880"/>
    <n v="25"/>
    <s v="Male"/>
    <x v="5"/>
    <s v="Associate"/>
    <s v="David Miller"/>
    <x v="872"/>
    <n v="1"/>
    <n v="55"/>
    <n v="2"/>
    <n v="6"/>
    <d v="2023-04-12T00:00:00"/>
    <d v="2021-06-14T00:00:00"/>
  </r>
  <r>
    <x v="881"/>
    <n v="22"/>
    <s v="Male"/>
    <x v="5"/>
    <s v="Analyst"/>
    <s v="Ahmad Hassan"/>
    <x v="873"/>
    <n v="29"/>
    <n v="5"/>
    <m/>
    <n v="1"/>
    <d v="2015-11-07T00:00:00"/>
    <m/>
  </r>
  <r>
    <x v="882"/>
    <n v="40"/>
    <s v="Male"/>
    <x v="4"/>
    <s v="Manager"/>
    <s v="Omar Khalid"/>
    <x v="874"/>
    <n v="20"/>
    <n v="57"/>
    <n v="4"/>
    <n v="9"/>
    <d v="2019-08-22T00:00:00"/>
    <d v="2018-09-04T00:00:00"/>
  </r>
  <r>
    <x v="883"/>
    <n v="43"/>
    <s v="Male"/>
    <x v="0"/>
    <s v="Specialist"/>
    <s v="John Carter"/>
    <x v="875"/>
    <n v="3"/>
    <n v="42"/>
    <n v="5"/>
    <n v="3"/>
    <d v="2020-08-22T00:00:00"/>
    <m/>
  </r>
  <r>
    <x v="884"/>
    <n v="56"/>
    <s v="Female"/>
    <x v="0"/>
    <s v="Manager"/>
    <s v="Sarah Lee"/>
    <x v="876"/>
    <n v="14"/>
    <n v="0"/>
    <n v="2"/>
    <n v="6"/>
    <d v="2021-10-08T00:00:00"/>
    <m/>
  </r>
  <r>
    <x v="885"/>
    <n v="60"/>
    <s v="Male"/>
    <x v="5"/>
    <s v="Manager"/>
    <s v="Ahmad Hassan"/>
    <x v="877"/>
    <n v="9"/>
    <n v="0"/>
    <n v="4"/>
    <n v="8"/>
    <d v="2016-06-24T00:00:00"/>
    <d v="2020-02-13T00:00:00"/>
  </r>
  <r>
    <x v="886"/>
    <n v="36"/>
    <s v="Female"/>
    <x v="3"/>
    <s v="Senior Analyst"/>
    <s v="Fatima Noor"/>
    <x v="878"/>
    <n v="15"/>
    <n v="6"/>
    <n v="2"/>
    <n v="4"/>
    <d v="2023-05-02T00:00:00"/>
    <m/>
  </r>
  <r>
    <x v="887"/>
    <n v="34"/>
    <s v="Female"/>
    <x v="3"/>
    <s v="Specialist"/>
    <s v="Emily Brown"/>
    <x v="879"/>
    <n v="20"/>
    <n v="28"/>
    <n v="5"/>
    <n v="3"/>
    <d v="2018-06-18T00:00:00"/>
    <m/>
  </r>
  <r>
    <x v="888"/>
    <n v="23"/>
    <s v="Female"/>
    <x v="3"/>
    <s v="Specialist"/>
    <s v="Sarah Lee"/>
    <x v="880"/>
    <n v="7"/>
    <n v="39"/>
    <n v="3"/>
    <n v="3"/>
    <d v="2015-03-07T00:00:0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9">
  <r>
    <n v="1001"/>
    <n v="22"/>
    <s v="Male"/>
    <x v="0"/>
    <s v="Specialist"/>
    <s v="Fatima Noor"/>
    <n v="96883"/>
    <n v="24"/>
    <n v="43"/>
    <x v="0"/>
    <n v="9"/>
    <d v="2021-03-25T00:00:00"/>
    <m/>
    <x v="0"/>
  </r>
  <r>
    <n v="1002"/>
    <n v="32"/>
    <s v="Male"/>
    <x v="1"/>
    <s v="Specialist"/>
    <s v="Ahmad Hassan"/>
    <n v="45004"/>
    <n v="17"/>
    <n v="7"/>
    <x v="1"/>
    <n v="10"/>
    <d v="2017-03-06T00:00:00"/>
    <d v="2022-07-09T00:00:00"/>
    <x v="1"/>
  </r>
  <r>
    <n v="1003"/>
    <n v="31"/>
    <s v="Male"/>
    <x v="2"/>
    <s v="Analyst"/>
    <s v="Omar Khalid"/>
    <n v="57054"/>
    <n v="12"/>
    <n v="18"/>
    <x v="2"/>
    <n v="1"/>
    <d v="2024-04-07T00:00:00"/>
    <m/>
    <x v="0"/>
  </r>
  <r>
    <n v="1004"/>
    <n v="34"/>
    <s v="Male"/>
    <x v="3"/>
    <s v="Manager"/>
    <s v="Emily Brown"/>
    <n v="60564"/>
    <n v="27"/>
    <n v="6"/>
    <x v="3"/>
    <n v="2"/>
    <d v="2016-07-28T00:00:00"/>
    <m/>
    <x v="0"/>
  </r>
  <r>
    <n v="1005"/>
    <n v="38"/>
    <s v="Male"/>
    <x v="2"/>
    <s v="Associate"/>
    <s v="David Miller"/>
    <n v="103148"/>
    <n v="2"/>
    <n v="29"/>
    <x v="3"/>
    <n v="1"/>
    <d v="2019-04-16T00:00:00"/>
    <d v="2017-02-08T00:00:00"/>
    <x v="1"/>
  </r>
  <r>
    <n v="1006"/>
    <n v="22"/>
    <s v="Female"/>
    <x v="1"/>
    <s v="Associate"/>
    <s v="Sarah Lee"/>
    <n v="109322"/>
    <n v="1"/>
    <n v="35"/>
    <x v="0"/>
    <n v="8"/>
    <d v="2023-04-06T00:00:00"/>
    <m/>
    <x v="0"/>
  </r>
  <r>
    <n v="1007"/>
    <n v="59"/>
    <s v="Female"/>
    <x v="4"/>
    <s v="Senior Analyst"/>
    <s v="Emily Brown"/>
    <n v="89178"/>
    <n v="5"/>
    <n v="14"/>
    <x v="1"/>
    <n v="4"/>
    <d v="2017-03-08T00:00:00"/>
    <d v="2017-01-25T00:00:00"/>
    <x v="1"/>
  </r>
  <r>
    <n v="1008"/>
    <n v="27"/>
    <s v="Female"/>
    <x v="0"/>
    <s v="Specialist"/>
    <s v="Fatima Noor"/>
    <n v="83409"/>
    <n v="25"/>
    <n v="58"/>
    <x v="2"/>
    <n v="10"/>
    <d v="2016-10-24T00:00:00"/>
    <m/>
    <x v="0"/>
  </r>
  <r>
    <n v="1009"/>
    <n v="44"/>
    <s v="Female"/>
    <x v="4"/>
    <s v="Analyst"/>
    <s v="David Miller"/>
    <n v="66465"/>
    <n v="21"/>
    <n v="32"/>
    <x v="4"/>
    <n v="7"/>
    <d v="2021-07-01T00:00:00"/>
    <m/>
    <x v="0"/>
  </r>
  <r>
    <n v="1010"/>
    <n v="49"/>
    <s v="Male"/>
    <x v="1"/>
    <s v="Manager"/>
    <s v="David Miller"/>
    <n v="62677"/>
    <n v="9"/>
    <n v="42"/>
    <x v="1"/>
    <n v="7"/>
    <d v="2015-08-09T00:00:00"/>
    <m/>
    <x v="0"/>
  </r>
  <r>
    <n v="1011"/>
    <n v="30"/>
    <s v="Female"/>
    <x v="5"/>
    <s v="Specialist"/>
    <s v="John Carter"/>
    <n v="48019"/>
    <n v="12"/>
    <n v="33"/>
    <x v="0"/>
    <n v="4"/>
    <d v="2023-08-18T00:00:00"/>
    <m/>
    <x v="0"/>
  </r>
  <r>
    <n v="1012"/>
    <n v="49"/>
    <s v="Female"/>
    <x v="3"/>
    <s v="Associate"/>
    <s v="David Miller"/>
    <n v="99941"/>
    <n v="25"/>
    <n v="26"/>
    <x v="0"/>
    <n v="3"/>
    <d v="2022-08-21T00:00:00"/>
    <d v="2024-03-01T00:00:00"/>
    <x v="1"/>
  </r>
  <r>
    <n v="1013"/>
    <n v="50"/>
    <s v="Male"/>
    <x v="4"/>
    <s v="Manager"/>
    <s v="Sarah Lee"/>
    <n v="100930"/>
    <n v="7"/>
    <n v="44"/>
    <x v="4"/>
    <n v="7"/>
    <d v="2024-10-01T00:00:00"/>
    <m/>
    <x v="0"/>
  </r>
  <r>
    <n v="1014"/>
    <n v="55"/>
    <s v="Female"/>
    <x v="3"/>
    <s v="Manager"/>
    <s v="John Carter"/>
    <n v="56257"/>
    <n v="14"/>
    <n v="38"/>
    <x v="5"/>
    <n v="8"/>
    <d v="2015-06-16T00:00:00"/>
    <m/>
    <x v="0"/>
  </r>
  <r>
    <n v="1015"/>
    <n v="39"/>
    <s v="Male"/>
    <x v="2"/>
    <s v="Manager"/>
    <s v="Omar Khalid"/>
    <n v="89670"/>
    <n v="22"/>
    <n v="26"/>
    <x v="3"/>
    <n v="10"/>
    <d v="2020-06-13T00:00:00"/>
    <m/>
    <x v="0"/>
  </r>
  <r>
    <n v="1016"/>
    <n v="23"/>
    <s v="Female"/>
    <x v="2"/>
    <s v="Manager"/>
    <s v="Omar Khalid"/>
    <n v="104400"/>
    <n v="12"/>
    <n v="16"/>
    <x v="3"/>
    <n v="9"/>
    <d v="2022-10-10T00:00:00"/>
    <d v="2022-12-20T00:00:00"/>
    <x v="1"/>
  </r>
  <r>
    <n v="1017"/>
    <n v="32"/>
    <s v="Male"/>
    <x v="1"/>
    <s v="Senior Analyst"/>
    <s v="John Carter"/>
    <n v="85244"/>
    <n v="20"/>
    <n v="40"/>
    <x v="4"/>
    <n v="4"/>
    <d v="2023-03-08T00:00:00"/>
    <d v="2022-07-09T00:00:00"/>
    <x v="1"/>
  </r>
  <r>
    <n v="1018"/>
    <n v="30"/>
    <s v="Male"/>
    <x v="3"/>
    <s v="Specialist"/>
    <s v="Ahmad Hassan"/>
    <n v="49472"/>
    <n v="28"/>
    <n v="45"/>
    <x v="2"/>
    <n v="10"/>
    <d v="2023-04-25T00:00:00"/>
    <m/>
    <x v="0"/>
  </r>
  <r>
    <n v="1019"/>
    <n v="23"/>
    <s v="Male"/>
    <x v="0"/>
    <s v="Senior Analyst"/>
    <s v="Omar Khalid"/>
    <n v="46860"/>
    <n v="24"/>
    <n v="3"/>
    <x v="3"/>
    <n v="7"/>
    <d v="2024-10-06T00:00:00"/>
    <d v="2016-09-28T00:00:00"/>
    <x v="1"/>
  </r>
  <r>
    <n v="1020"/>
    <n v="59"/>
    <s v="Female"/>
    <x v="2"/>
    <s v="Manager"/>
    <s v="Omar Khalid"/>
    <n v="97764"/>
    <n v="6"/>
    <n v="2"/>
    <x v="4"/>
    <n v="1"/>
    <d v="2023-07-04T00:00:00"/>
    <m/>
    <x v="0"/>
  </r>
  <r>
    <n v="1021"/>
    <n v="29"/>
    <s v="Female"/>
    <x v="5"/>
    <s v="Manager"/>
    <s v="David Miller"/>
    <n v="45004"/>
    <n v="29"/>
    <n v="57"/>
    <x v="1"/>
    <n v="9"/>
    <d v="2023-07-05T00:00:00"/>
    <m/>
    <x v="0"/>
  </r>
  <r>
    <n v="1022"/>
    <n v="22"/>
    <s v="Male"/>
    <x v="0"/>
    <s v="Associate"/>
    <s v="Fatima Noor"/>
    <n v="90697"/>
    <n v="27"/>
    <n v="20"/>
    <x v="0"/>
    <n v="9"/>
    <d v="2020-07-02T00:00:00"/>
    <m/>
    <x v="0"/>
  </r>
  <r>
    <n v="1023"/>
    <n v="26"/>
    <s v="Female"/>
    <x v="5"/>
    <s v="Specialist"/>
    <s v="Fatima Noor"/>
    <n v="83927"/>
    <n v="20"/>
    <n v="47"/>
    <x v="1"/>
    <n v="10"/>
    <d v="2019-09-14T00:00:00"/>
    <m/>
    <x v="0"/>
  </r>
  <r>
    <n v="1024"/>
    <n v="24"/>
    <s v="Male"/>
    <x v="0"/>
    <s v="Specialist"/>
    <s v="Ahmad Hassan"/>
    <n v="59112"/>
    <n v="20"/>
    <n v="4"/>
    <x v="2"/>
    <n v="2"/>
    <d v="2017-06-18T00:00:00"/>
    <d v="2017-02-25T00:00:00"/>
    <x v="1"/>
  </r>
  <r>
    <n v="1025"/>
    <n v="33"/>
    <s v="Male"/>
    <x v="0"/>
    <s v="Analyst"/>
    <s v="John Carter"/>
    <n v="62733"/>
    <n v="7"/>
    <n v="3"/>
    <x v="0"/>
    <n v="2"/>
    <d v="2017-04-16T00:00:00"/>
    <m/>
    <x v="0"/>
  </r>
  <r>
    <n v="1026"/>
    <n v="54"/>
    <s v="Female"/>
    <x v="0"/>
    <s v="Associate"/>
    <s v="David Miller"/>
    <n v="99025"/>
    <n v="14"/>
    <n v="45"/>
    <x v="2"/>
    <n v="1"/>
    <d v="2023-11-17T00:00:00"/>
    <m/>
    <x v="0"/>
  </r>
  <r>
    <n v="1027"/>
    <n v="33"/>
    <s v="Female"/>
    <x v="2"/>
    <s v="Manager"/>
    <s v="Fatima Noor"/>
    <n v="101253"/>
    <n v="18"/>
    <n v="27"/>
    <x v="1"/>
    <n v="10"/>
    <d v="2019-04-06T00:00:00"/>
    <m/>
    <x v="0"/>
  </r>
  <r>
    <n v="1028"/>
    <n v="23"/>
    <s v="Female"/>
    <x v="3"/>
    <s v="Specialist"/>
    <s v="John Carter"/>
    <n v="45278"/>
    <n v="17"/>
    <n v="23"/>
    <x v="4"/>
    <n v="1"/>
    <d v="2020-02-02T00:00:00"/>
    <m/>
    <x v="0"/>
  </r>
  <r>
    <n v="1029"/>
    <n v="23"/>
    <s v="Female"/>
    <x v="5"/>
    <s v="Associate"/>
    <s v="David Miller"/>
    <n v="93665"/>
    <n v="4"/>
    <n v="30"/>
    <x v="3"/>
    <n v="6"/>
    <d v="2023-06-20T00:00:00"/>
    <d v="2019-02-11T00:00:00"/>
    <x v="1"/>
  </r>
  <r>
    <n v="1030"/>
    <n v="38"/>
    <s v="Female"/>
    <x v="2"/>
    <s v="Analyst"/>
    <s v="Emily Brown"/>
    <n v="74101"/>
    <n v="24"/>
    <n v="46"/>
    <x v="2"/>
    <n v="6"/>
    <d v="2023-02-25T00:00:00"/>
    <m/>
    <x v="0"/>
  </r>
  <r>
    <n v="1031"/>
    <n v="24"/>
    <s v="Female"/>
    <x v="3"/>
    <s v="Specialist"/>
    <s v="Emily Brown"/>
    <n v="85018"/>
    <n v="8"/>
    <n v="24"/>
    <x v="3"/>
    <n v="2"/>
    <d v="2015-04-18T00:00:00"/>
    <m/>
    <x v="0"/>
  </r>
  <r>
    <n v="1032"/>
    <n v="38"/>
    <s v="Male"/>
    <x v="0"/>
    <s v="Analyst"/>
    <s v="John Carter"/>
    <n v="78900"/>
    <n v="12"/>
    <n v="6"/>
    <x v="2"/>
    <n v="7"/>
    <d v="2015-06-12T00:00:00"/>
    <m/>
    <x v="0"/>
  </r>
  <r>
    <n v="1033"/>
    <n v="59"/>
    <s v="Male"/>
    <x v="4"/>
    <s v="Specialist"/>
    <s v="Emily Brown"/>
    <n v="78249"/>
    <n v="30"/>
    <n v="41"/>
    <x v="3"/>
    <n v="10"/>
    <d v="2015-02-21T00:00:00"/>
    <m/>
    <x v="0"/>
  </r>
  <r>
    <n v="1034"/>
    <n v="37"/>
    <s v="Female"/>
    <x v="0"/>
    <s v="Analyst"/>
    <s v="Emily Brown"/>
    <n v="48259"/>
    <n v="26"/>
    <n v="57"/>
    <x v="1"/>
    <n v="8"/>
    <d v="2018-09-22T00:00:00"/>
    <d v="2017-06-01T00:00:00"/>
    <x v="1"/>
  </r>
  <r>
    <n v="1035"/>
    <n v="51"/>
    <s v="Female"/>
    <x v="0"/>
    <s v="Specialist"/>
    <s v="Omar Khalid"/>
    <n v="103617"/>
    <n v="19"/>
    <n v="26"/>
    <x v="3"/>
    <n v="3"/>
    <d v="2023-11-23T00:00:00"/>
    <m/>
    <x v="0"/>
  </r>
  <r>
    <n v="1036"/>
    <n v="50"/>
    <s v="Male"/>
    <x v="3"/>
    <s v="Analyst"/>
    <s v="Sarah Lee"/>
    <n v="57227"/>
    <n v="10"/>
    <n v="5"/>
    <x v="5"/>
    <n v="8"/>
    <d v="2023-12-03T00:00:00"/>
    <m/>
    <x v="0"/>
  </r>
  <r>
    <n v="1037"/>
    <n v="44"/>
    <s v="Female"/>
    <x v="2"/>
    <s v="Associate"/>
    <s v="Emily Brown"/>
    <n v="71066"/>
    <n v="30"/>
    <n v="8"/>
    <x v="4"/>
    <n v="5"/>
    <d v="2019-02-21T00:00:00"/>
    <m/>
    <x v="0"/>
  </r>
  <r>
    <n v="1038"/>
    <n v="33"/>
    <s v="Female"/>
    <x v="5"/>
    <s v="Specialist"/>
    <s v="Ahmad Hassan"/>
    <n v="80825"/>
    <n v="0"/>
    <n v="44"/>
    <x v="0"/>
    <n v="3"/>
    <d v="2015-10-03T00:00:00"/>
    <d v="2022-06-22T00:00:00"/>
    <x v="1"/>
  </r>
  <r>
    <n v="1039"/>
    <n v="23"/>
    <s v="Male"/>
    <x v="4"/>
    <s v="Analyst"/>
    <s v="Sarah Lee"/>
    <n v="63701"/>
    <n v="23"/>
    <n v="55"/>
    <x v="1"/>
    <n v="3"/>
    <d v="2023-06-15T00:00:00"/>
    <d v="2017-07-24T00:00:00"/>
    <x v="1"/>
  </r>
  <r>
    <n v="1040"/>
    <n v="26"/>
    <s v="Female"/>
    <x v="0"/>
    <s v="Manager"/>
    <s v="Sarah Lee"/>
    <n v="55672"/>
    <n v="3"/>
    <n v="52"/>
    <x v="0"/>
    <n v="1"/>
    <d v="2021-08-08T00:00:00"/>
    <m/>
    <x v="0"/>
  </r>
  <r>
    <n v="1041"/>
    <n v="29"/>
    <s v="Female"/>
    <x v="0"/>
    <s v="Analyst"/>
    <s v="Sarah Lee"/>
    <n v="58476"/>
    <n v="9"/>
    <n v="34"/>
    <x v="0"/>
    <n v="2"/>
    <d v="2020-09-19T00:00:00"/>
    <m/>
    <x v="0"/>
  </r>
  <r>
    <n v="1042"/>
    <n v="58"/>
    <s v="Female"/>
    <x v="0"/>
    <s v="Associate"/>
    <s v="John Carter"/>
    <n v="89655"/>
    <n v="22"/>
    <n v="55"/>
    <x v="2"/>
    <n v="3"/>
    <d v="2023-10-17T00:00:00"/>
    <m/>
    <x v="0"/>
  </r>
  <r>
    <n v="1043"/>
    <n v="30"/>
    <s v="Male"/>
    <x v="3"/>
    <s v="Senior Analyst"/>
    <s v="Sarah Lee"/>
    <n v="71693"/>
    <n v="8"/>
    <n v="1"/>
    <x v="4"/>
    <n v="4"/>
    <d v="2021-04-06T00:00:00"/>
    <d v="2017-12-04T00:00:00"/>
    <x v="1"/>
  </r>
  <r>
    <n v="1044"/>
    <n v="23"/>
    <s v="Male"/>
    <x v="1"/>
    <s v="Senior Analyst"/>
    <s v="Emily Brown"/>
    <n v="107299"/>
    <n v="1"/>
    <n v="36"/>
    <x v="2"/>
    <n v="8"/>
    <d v="2022-06-13T00:00:00"/>
    <m/>
    <x v="0"/>
  </r>
  <r>
    <n v="1045"/>
    <n v="28"/>
    <s v="Male"/>
    <x v="3"/>
    <s v="Associate"/>
    <s v="Emily Brown"/>
    <n v="75897"/>
    <n v="14"/>
    <n v="54"/>
    <x v="4"/>
    <n v="4"/>
    <d v="2017-03-16T00:00:00"/>
    <d v="2018-09-17T00:00:00"/>
    <x v="1"/>
  </r>
  <r>
    <n v="1046"/>
    <n v="35"/>
    <s v="Female"/>
    <x v="5"/>
    <s v="Manager"/>
    <s v="Emily Brown"/>
    <n v="63383"/>
    <n v="17"/>
    <n v="33"/>
    <x v="2"/>
    <n v="4"/>
    <d v="2015-11-26T00:00:00"/>
    <d v="2022-11-08T00:00:00"/>
    <x v="1"/>
  </r>
  <r>
    <n v="1047"/>
    <n v="45"/>
    <s v="Male"/>
    <x v="1"/>
    <s v="Specialist"/>
    <s v="Sarah Lee"/>
    <n v="109014"/>
    <n v="28"/>
    <n v="48"/>
    <x v="5"/>
    <n v="4"/>
    <d v="2015-03-15T00:00:00"/>
    <m/>
    <x v="0"/>
  </r>
  <r>
    <n v="1048"/>
    <n v="53"/>
    <s v="Female"/>
    <x v="3"/>
    <s v="Senior Analyst"/>
    <s v="Ahmad Hassan"/>
    <n v="82854"/>
    <n v="5"/>
    <n v="19"/>
    <x v="1"/>
    <n v="10"/>
    <d v="2022-04-09T00:00:00"/>
    <d v="2017-06-11T00:00:00"/>
    <x v="1"/>
  </r>
  <r>
    <n v="1049"/>
    <n v="43"/>
    <s v="Male"/>
    <x v="4"/>
    <s v="Analyst"/>
    <s v="Sarah Lee"/>
    <n v="59019"/>
    <n v="14"/>
    <n v="34"/>
    <x v="4"/>
    <n v="5"/>
    <d v="2018-01-11T00:00:00"/>
    <m/>
    <x v="0"/>
  </r>
  <r>
    <n v="1050"/>
    <n v="25"/>
    <s v="Female"/>
    <x v="1"/>
    <s v="Manager"/>
    <s v="Ahmad Hassan"/>
    <n v="109824"/>
    <n v="17"/>
    <n v="38"/>
    <x v="3"/>
    <n v="3"/>
    <d v="2017-05-13T00:00:00"/>
    <m/>
    <x v="0"/>
  </r>
  <r>
    <n v="1051"/>
    <n v="25"/>
    <s v="Male"/>
    <x v="5"/>
    <s v="Senior Analyst"/>
    <s v="Emily Brown"/>
    <n v="83473"/>
    <n v="22"/>
    <n v="57"/>
    <x v="4"/>
    <n v="2"/>
    <d v="2017-10-18T00:00:00"/>
    <m/>
    <x v="0"/>
  </r>
  <r>
    <n v="1052"/>
    <n v="26"/>
    <s v="Male"/>
    <x v="2"/>
    <s v="Senior Analyst"/>
    <s v="Sarah Lee"/>
    <n v="54599"/>
    <n v="12"/>
    <n v="25"/>
    <x v="3"/>
    <n v="3"/>
    <d v="2016-11-04T00:00:00"/>
    <m/>
    <x v="0"/>
  </r>
  <r>
    <n v="1053"/>
    <n v="28"/>
    <s v="Male"/>
    <x v="5"/>
    <s v="Specialist"/>
    <s v="Ahmad Hassan"/>
    <n v="98358"/>
    <n v="27"/>
    <n v="20"/>
    <x v="0"/>
    <n v="4"/>
    <d v="2016-05-27T00:00:00"/>
    <d v="2019-09-03T00:00:00"/>
    <x v="1"/>
  </r>
  <r>
    <n v="1054"/>
    <n v="33"/>
    <s v="Male"/>
    <x v="4"/>
    <s v="Manager"/>
    <s v="Sarah Lee"/>
    <n v="91878"/>
    <n v="20"/>
    <n v="45"/>
    <x v="1"/>
    <n v="10"/>
    <d v="2019-01-19T00:00:00"/>
    <m/>
    <x v="0"/>
  </r>
  <r>
    <n v="1055"/>
    <n v="30"/>
    <s v="Male"/>
    <x v="1"/>
    <s v="Manager"/>
    <s v="Fatima Noor"/>
    <n v="71151"/>
    <n v="7"/>
    <n v="45"/>
    <x v="2"/>
    <n v="1"/>
    <d v="2019-10-14T00:00:00"/>
    <m/>
    <x v="0"/>
  </r>
  <r>
    <n v="1056"/>
    <n v="43"/>
    <s v="Male"/>
    <x v="5"/>
    <s v="Associate"/>
    <s v="Emily Brown"/>
    <n v="56599"/>
    <n v="24"/>
    <n v="9"/>
    <x v="4"/>
    <n v="1"/>
    <d v="2024-05-28T00:00:00"/>
    <d v="2022-09-25T00:00:00"/>
    <x v="1"/>
  </r>
  <r>
    <n v="1057"/>
    <n v="41"/>
    <s v="Female"/>
    <x v="3"/>
    <s v="Senior Analyst"/>
    <s v="Omar Khalid"/>
    <n v="76848"/>
    <n v="23"/>
    <n v="32"/>
    <x v="2"/>
    <n v="4"/>
    <d v="2018-09-12T00:00:00"/>
    <m/>
    <x v="0"/>
  </r>
  <r>
    <n v="1058"/>
    <n v="33"/>
    <s v="Male"/>
    <x v="2"/>
    <s v="Senior Analyst"/>
    <s v="John Carter"/>
    <n v="104193"/>
    <n v="1"/>
    <n v="42"/>
    <x v="2"/>
    <n v="4"/>
    <d v="2019-04-17T00:00:00"/>
    <m/>
    <x v="0"/>
  </r>
  <r>
    <n v="1059"/>
    <n v="25"/>
    <s v="Male"/>
    <x v="0"/>
    <s v="Manager"/>
    <s v="Sarah Lee"/>
    <n v="80514"/>
    <n v="19"/>
    <n v="28"/>
    <x v="0"/>
    <n v="8"/>
    <d v="2021-05-03T00:00:00"/>
    <m/>
    <x v="0"/>
  </r>
  <r>
    <n v="1060"/>
    <n v="26"/>
    <s v="Female"/>
    <x v="0"/>
    <s v="Specialist"/>
    <s v="Ahmad Hassan"/>
    <n v="102895"/>
    <n v="17"/>
    <n v="43"/>
    <x v="5"/>
    <n v="4"/>
    <d v="2016-01-21T00:00:00"/>
    <m/>
    <x v="0"/>
  </r>
  <r>
    <n v="1061"/>
    <n v="53"/>
    <s v="Female"/>
    <x v="2"/>
    <s v="Manager"/>
    <s v="John Carter"/>
    <n v="94123"/>
    <n v="15"/>
    <n v="47"/>
    <x v="3"/>
    <n v="1"/>
    <d v="2020-07-06T00:00:00"/>
    <d v="2024-12-11T00:00:00"/>
    <x v="1"/>
  </r>
  <r>
    <n v="1062"/>
    <n v="45"/>
    <s v="Female"/>
    <x v="5"/>
    <s v="Manager"/>
    <s v="Omar Khalid"/>
    <n v="97855"/>
    <n v="8"/>
    <n v="59"/>
    <x v="5"/>
    <n v="6"/>
    <d v="2022-12-22T00:00:00"/>
    <d v="2016-01-05T00:00:00"/>
    <x v="1"/>
  </r>
  <r>
    <n v="1063"/>
    <n v="27"/>
    <s v="Female"/>
    <x v="2"/>
    <s v="Associate"/>
    <s v="Omar Khalid"/>
    <n v="46218"/>
    <n v="21"/>
    <n v="53"/>
    <x v="4"/>
    <n v="2"/>
    <d v="2015-07-06T00:00:00"/>
    <d v="2020-06-17T00:00:00"/>
    <x v="1"/>
  </r>
  <r>
    <n v="1064"/>
    <n v="60"/>
    <s v="Female"/>
    <x v="5"/>
    <s v="Manager"/>
    <s v="Sarah Lee"/>
    <n v="85877"/>
    <n v="25"/>
    <n v="49"/>
    <x v="1"/>
    <n v="2"/>
    <d v="2023-02-09T00:00:00"/>
    <d v="2016-01-02T00:00:00"/>
    <x v="1"/>
  </r>
  <r>
    <n v="1065"/>
    <n v="22"/>
    <s v="Male"/>
    <x v="5"/>
    <s v="Analyst"/>
    <s v="David Miller"/>
    <n v="61990"/>
    <n v="9"/>
    <n v="22"/>
    <x v="5"/>
    <n v="9"/>
    <d v="2019-10-26T00:00:00"/>
    <m/>
    <x v="0"/>
  </r>
  <r>
    <n v="1066"/>
    <n v="35"/>
    <s v="Male"/>
    <x v="2"/>
    <s v="Senior Analyst"/>
    <s v="Ahmad Hassan"/>
    <n v="58879"/>
    <n v="13"/>
    <n v="38"/>
    <x v="1"/>
    <n v="1"/>
    <d v="2019-11-26T00:00:00"/>
    <d v="2021-08-04T00:00:00"/>
    <x v="1"/>
  </r>
  <r>
    <n v="1067"/>
    <n v="24"/>
    <s v="Female"/>
    <x v="2"/>
    <s v="Associate"/>
    <s v="Fatima Noor"/>
    <n v="75413"/>
    <n v="6"/>
    <n v="46"/>
    <x v="5"/>
    <n v="7"/>
    <d v="2016-09-15T00:00:00"/>
    <d v="2023-11-15T00:00:00"/>
    <x v="1"/>
  </r>
  <r>
    <n v="1068"/>
    <n v="42"/>
    <s v="Female"/>
    <x v="1"/>
    <s v="Senior Analyst"/>
    <s v="David Miller"/>
    <n v="74982"/>
    <n v="2"/>
    <n v="23"/>
    <x v="3"/>
    <n v="8"/>
    <d v="2022-11-13T00:00:00"/>
    <d v="2022-07-25T00:00:00"/>
    <x v="1"/>
  </r>
  <r>
    <n v="1069"/>
    <n v="43"/>
    <s v="Male"/>
    <x v="4"/>
    <s v="Associate"/>
    <s v="Emily Brown"/>
    <n v="55241"/>
    <n v="23"/>
    <n v="12"/>
    <x v="1"/>
    <n v="3"/>
    <d v="2022-03-05T00:00:00"/>
    <m/>
    <x v="0"/>
  </r>
  <r>
    <n v="1070"/>
    <n v="26"/>
    <s v="Female"/>
    <x v="2"/>
    <s v="Manager"/>
    <s v="Fatima Noor"/>
    <n v="89995"/>
    <n v="14"/>
    <n v="43"/>
    <x v="4"/>
    <n v="5"/>
    <d v="2023-03-03T00:00:00"/>
    <m/>
    <x v="0"/>
  </r>
  <r>
    <n v="1071"/>
    <n v="60"/>
    <s v="Male"/>
    <x v="2"/>
    <s v="Specialist"/>
    <s v="Fatima Noor"/>
    <n v="72619"/>
    <n v="27"/>
    <n v="11"/>
    <x v="1"/>
    <n v="4"/>
    <d v="2022-04-20T00:00:00"/>
    <d v="2018-03-20T00:00:00"/>
    <x v="1"/>
  </r>
  <r>
    <n v="1072"/>
    <n v="53"/>
    <s v="Female"/>
    <x v="4"/>
    <s v="Specialist"/>
    <s v="Emily Brown"/>
    <n v="79699"/>
    <n v="21"/>
    <n v="51"/>
    <x v="1"/>
    <n v="3"/>
    <d v="2020-01-20T00:00:00"/>
    <m/>
    <x v="0"/>
  </r>
  <r>
    <n v="1073"/>
    <n v="48"/>
    <s v="Female"/>
    <x v="3"/>
    <s v="Analyst"/>
    <s v="Emily Brown"/>
    <n v="55102"/>
    <n v="12"/>
    <n v="34"/>
    <x v="3"/>
    <n v="9"/>
    <d v="2022-06-06T00:00:00"/>
    <m/>
    <x v="0"/>
  </r>
  <r>
    <n v="1074"/>
    <n v="24"/>
    <s v="Female"/>
    <x v="0"/>
    <s v="Senior Analyst"/>
    <s v="Sarah Lee"/>
    <n v="91120"/>
    <n v="0"/>
    <n v="0"/>
    <x v="3"/>
    <n v="6"/>
    <d v="2022-05-06T00:00:00"/>
    <m/>
    <x v="0"/>
  </r>
  <r>
    <n v="1075"/>
    <n v="56"/>
    <s v="Male"/>
    <x v="5"/>
    <s v="Senior Analyst"/>
    <s v="John Carter"/>
    <n v="108483"/>
    <n v="0"/>
    <n v="45"/>
    <x v="0"/>
    <n v="4"/>
    <d v="2016-11-16T00:00:00"/>
    <m/>
    <x v="0"/>
  </r>
  <r>
    <n v="1076"/>
    <n v="44"/>
    <s v="Female"/>
    <x v="2"/>
    <s v="Manager"/>
    <s v="Sarah Lee"/>
    <n v="106302"/>
    <n v="18"/>
    <n v="35"/>
    <x v="4"/>
    <n v="5"/>
    <d v="2017-01-21T00:00:00"/>
    <m/>
    <x v="0"/>
  </r>
  <r>
    <n v="1077"/>
    <n v="52"/>
    <s v="Female"/>
    <x v="2"/>
    <s v="Associate"/>
    <s v="David Miller"/>
    <n v="95950"/>
    <n v="24"/>
    <n v="51"/>
    <x v="2"/>
    <n v="7"/>
    <d v="2017-06-22T00:00:00"/>
    <d v="2019-02-05T00:00:00"/>
    <x v="1"/>
  </r>
  <r>
    <n v="1078"/>
    <n v="56"/>
    <s v="Female"/>
    <x v="2"/>
    <s v="Specialist"/>
    <s v="Ahmad Hassan"/>
    <n v="72636"/>
    <n v="14"/>
    <n v="39"/>
    <x v="1"/>
    <n v="2"/>
    <d v="2024-01-25T00:00:00"/>
    <m/>
    <x v="0"/>
  </r>
  <r>
    <n v="1079"/>
    <n v="26"/>
    <s v="Male"/>
    <x v="5"/>
    <s v="Manager"/>
    <s v="Sarah Lee"/>
    <n v="57476"/>
    <n v="6"/>
    <n v="56"/>
    <x v="0"/>
    <n v="6"/>
    <d v="2016-02-16T00:00:00"/>
    <d v="2023-07-19T00:00:00"/>
    <x v="1"/>
  </r>
  <r>
    <n v="1080"/>
    <n v="27"/>
    <s v="Male"/>
    <x v="2"/>
    <s v="Manager"/>
    <s v="Omar Khalid"/>
    <n v="93371"/>
    <n v="26"/>
    <n v="53"/>
    <x v="0"/>
    <n v="3"/>
    <d v="2023-11-08T00:00:00"/>
    <m/>
    <x v="0"/>
  </r>
  <r>
    <n v="1081"/>
    <n v="45"/>
    <s v="Male"/>
    <x v="4"/>
    <s v="Manager"/>
    <s v="Sarah Lee"/>
    <n v="88161"/>
    <n v="10"/>
    <n v="19"/>
    <x v="1"/>
    <n v="3"/>
    <d v="2017-02-28T00:00:00"/>
    <m/>
    <x v="0"/>
  </r>
  <r>
    <n v="1082"/>
    <n v="36"/>
    <s v="Female"/>
    <x v="3"/>
    <s v="Specialist"/>
    <s v="Ahmad Hassan"/>
    <n v="87302"/>
    <n v="1"/>
    <n v="20"/>
    <x v="2"/>
    <n v="1"/>
    <d v="2015-02-22T00:00:00"/>
    <m/>
    <x v="0"/>
  </r>
  <r>
    <n v="1083"/>
    <n v="23"/>
    <s v="Female"/>
    <x v="5"/>
    <s v="Analyst"/>
    <s v="Sarah Lee"/>
    <n v="86434"/>
    <n v="25"/>
    <n v="57"/>
    <x v="5"/>
    <n v="6"/>
    <d v="2024-01-01T00:00:00"/>
    <m/>
    <x v="0"/>
  </r>
  <r>
    <n v="1084"/>
    <n v="24"/>
    <s v="Female"/>
    <x v="5"/>
    <s v="Senior Analyst"/>
    <s v="Fatima Noor"/>
    <n v="50405"/>
    <n v="17"/>
    <n v="59"/>
    <x v="4"/>
    <n v="5"/>
    <d v="2022-07-23T00:00:00"/>
    <m/>
    <x v="0"/>
  </r>
  <r>
    <n v="1085"/>
    <n v="54"/>
    <s v="Female"/>
    <x v="3"/>
    <s v="Senior Analyst"/>
    <s v="Fatima Noor"/>
    <n v="97369"/>
    <n v="26"/>
    <n v="26"/>
    <x v="5"/>
    <n v="1"/>
    <d v="2021-06-03T00:00:00"/>
    <m/>
    <x v="0"/>
  </r>
  <r>
    <n v="1086"/>
    <n v="44"/>
    <s v="Male"/>
    <x v="2"/>
    <s v="Analyst"/>
    <s v="Ahmad Hassan"/>
    <n v="86747"/>
    <n v="16"/>
    <n v="33"/>
    <x v="5"/>
    <n v="10"/>
    <d v="2023-01-28T00:00:00"/>
    <m/>
    <x v="0"/>
  </r>
  <r>
    <n v="1087"/>
    <n v="51"/>
    <s v="Female"/>
    <x v="0"/>
    <s v="Specialist"/>
    <s v="Ahmad Hassan"/>
    <n v="45374"/>
    <n v="10"/>
    <n v="39"/>
    <x v="3"/>
    <n v="2"/>
    <d v="2024-04-04T00:00:00"/>
    <d v="2022-01-09T00:00:00"/>
    <x v="1"/>
  </r>
  <r>
    <n v="1088"/>
    <n v="56"/>
    <s v="Male"/>
    <x v="5"/>
    <s v="Manager"/>
    <s v="Emily Brown"/>
    <n v="99575"/>
    <n v="15"/>
    <n v="3"/>
    <x v="5"/>
    <n v="9"/>
    <d v="2019-04-26T00:00:00"/>
    <d v="2019-04-11T00:00:00"/>
    <x v="1"/>
  </r>
  <r>
    <n v="1089"/>
    <n v="48"/>
    <s v="Female"/>
    <x v="2"/>
    <s v="Analyst"/>
    <s v="Sarah Lee"/>
    <n v="101696"/>
    <n v="21"/>
    <n v="52"/>
    <x v="0"/>
    <n v="10"/>
    <d v="2019-04-04T00:00:00"/>
    <d v="2021-05-26T00:00:00"/>
    <x v="1"/>
  </r>
  <r>
    <n v="1090"/>
    <n v="46"/>
    <s v="Male"/>
    <x v="0"/>
    <s v="Senior Analyst"/>
    <s v="David Miller"/>
    <n v="102594"/>
    <n v="7"/>
    <n v="13"/>
    <x v="2"/>
    <n v="1"/>
    <d v="2016-07-25T00:00:00"/>
    <m/>
    <x v="0"/>
  </r>
  <r>
    <n v="1091"/>
    <n v="51"/>
    <s v="Male"/>
    <x v="2"/>
    <s v="Specialist"/>
    <s v="Omar Khalid"/>
    <n v="65304"/>
    <n v="27"/>
    <n v="8"/>
    <x v="5"/>
    <n v="10"/>
    <d v="2020-01-23T00:00:00"/>
    <m/>
    <x v="0"/>
  </r>
  <r>
    <n v="1092"/>
    <n v="54"/>
    <s v="Male"/>
    <x v="4"/>
    <s v="Specialist"/>
    <s v="John Carter"/>
    <n v="82648"/>
    <n v="1"/>
    <n v="9"/>
    <x v="3"/>
    <n v="8"/>
    <d v="2023-06-05T00:00:00"/>
    <m/>
    <x v="0"/>
  </r>
  <r>
    <n v="1093"/>
    <n v="43"/>
    <s v="Female"/>
    <x v="3"/>
    <s v="Associate"/>
    <s v="David Miller"/>
    <n v="83591"/>
    <n v="18"/>
    <n v="50"/>
    <x v="4"/>
    <n v="6"/>
    <d v="2020-07-01T00:00:00"/>
    <d v="2022-04-07T00:00:00"/>
    <x v="1"/>
  </r>
  <r>
    <n v="1094"/>
    <n v="53"/>
    <s v="Female"/>
    <x v="0"/>
    <s v="Associate"/>
    <s v="John Carter"/>
    <n v="52987"/>
    <n v="13"/>
    <n v="27"/>
    <x v="5"/>
    <n v="5"/>
    <d v="2019-07-24T00:00:00"/>
    <d v="2021-08-06T00:00:00"/>
    <x v="1"/>
  </r>
  <r>
    <n v="1095"/>
    <n v="33"/>
    <s v="Male"/>
    <x v="4"/>
    <s v="Manager"/>
    <s v="Omar Khalid"/>
    <n v="74523"/>
    <n v="20"/>
    <n v="4"/>
    <x v="0"/>
    <n v="1"/>
    <d v="2021-05-02T00:00:00"/>
    <m/>
    <x v="0"/>
  </r>
  <r>
    <n v="1096"/>
    <n v="43"/>
    <s v="Male"/>
    <x v="0"/>
    <s v="Senior Analyst"/>
    <s v="Omar Khalid"/>
    <n v="74446"/>
    <n v="3"/>
    <n v="22"/>
    <x v="1"/>
    <n v="3"/>
    <d v="2018-05-27T00:00:00"/>
    <m/>
    <x v="0"/>
  </r>
  <r>
    <n v="1097"/>
    <n v="59"/>
    <s v="Female"/>
    <x v="3"/>
    <s v="Associate"/>
    <s v="Fatima Noor"/>
    <n v="94645"/>
    <n v="23"/>
    <n v="14"/>
    <x v="1"/>
    <n v="1"/>
    <d v="2022-09-22T00:00:00"/>
    <m/>
    <x v="0"/>
  </r>
  <r>
    <n v="1098"/>
    <n v="22"/>
    <s v="Female"/>
    <x v="5"/>
    <s v="Senior Analyst"/>
    <s v="Ahmad Hassan"/>
    <n v="47366"/>
    <n v="17"/>
    <n v="13"/>
    <x v="3"/>
    <n v="4"/>
    <d v="2021-11-03T00:00:00"/>
    <d v="2019-05-14T00:00:00"/>
    <x v="1"/>
  </r>
  <r>
    <n v="1099"/>
    <n v="34"/>
    <s v="Female"/>
    <x v="5"/>
    <s v="Specialist"/>
    <s v="Sarah Lee"/>
    <n v="60164"/>
    <n v="30"/>
    <n v="24"/>
    <x v="0"/>
    <n v="3"/>
    <d v="2020-03-16T00:00:00"/>
    <m/>
    <x v="0"/>
  </r>
  <r>
    <n v="1100"/>
    <n v="35"/>
    <s v="Male"/>
    <x v="1"/>
    <s v="Senior Analyst"/>
    <s v="Sarah Lee"/>
    <n v="71862"/>
    <n v="25"/>
    <n v="46"/>
    <x v="0"/>
    <n v="9"/>
    <d v="2015-06-01T00:00:00"/>
    <m/>
    <x v="0"/>
  </r>
  <r>
    <n v="1101"/>
    <n v="48"/>
    <s v="Female"/>
    <x v="0"/>
    <s v="Analyst"/>
    <s v="Fatima Noor"/>
    <n v="89395"/>
    <n v="16"/>
    <n v="3"/>
    <x v="3"/>
    <n v="7"/>
    <d v="2019-09-01T00:00:00"/>
    <m/>
    <x v="0"/>
  </r>
  <r>
    <n v="1102"/>
    <n v="45"/>
    <s v="Male"/>
    <x v="2"/>
    <s v="Senior Analyst"/>
    <s v="Omar Khalid"/>
    <n v="72318"/>
    <n v="15"/>
    <n v="52"/>
    <x v="1"/>
    <n v="7"/>
    <d v="2021-02-24T00:00:00"/>
    <m/>
    <x v="0"/>
  </r>
  <r>
    <n v="1103"/>
    <n v="28"/>
    <s v="Male"/>
    <x v="2"/>
    <s v="Analyst"/>
    <s v="John Carter"/>
    <n v="66232"/>
    <n v="25"/>
    <n v="33"/>
    <x v="0"/>
    <n v="4"/>
    <d v="2015-04-06T00:00:00"/>
    <m/>
    <x v="0"/>
  </r>
  <r>
    <n v="1104"/>
    <n v="58"/>
    <s v="Male"/>
    <x v="0"/>
    <s v="Senior Analyst"/>
    <s v="Ahmad Hassan"/>
    <n v="64240"/>
    <n v="3"/>
    <n v="17"/>
    <x v="3"/>
    <n v="9"/>
    <d v="2024-08-25T00:00:00"/>
    <m/>
    <x v="0"/>
  </r>
  <r>
    <n v="1105"/>
    <n v="55"/>
    <s v="Male"/>
    <x v="4"/>
    <s v="Manager"/>
    <s v="Ahmad Hassan"/>
    <n v="50073"/>
    <n v="13"/>
    <n v="37"/>
    <x v="5"/>
    <n v="7"/>
    <d v="2016-11-15T00:00:00"/>
    <m/>
    <x v="0"/>
  </r>
  <r>
    <n v="1106"/>
    <n v="30"/>
    <s v="Female"/>
    <x v="5"/>
    <s v="Manager"/>
    <s v="Sarah Lee"/>
    <n v="97985"/>
    <n v="20"/>
    <n v="24"/>
    <x v="4"/>
    <n v="1"/>
    <d v="2018-02-26T00:00:00"/>
    <m/>
    <x v="0"/>
  </r>
  <r>
    <n v="1107"/>
    <n v="59"/>
    <s v="Male"/>
    <x v="2"/>
    <s v="Associate"/>
    <s v="Ahmad Hassan"/>
    <n v="56027"/>
    <n v="14"/>
    <n v="48"/>
    <x v="2"/>
    <n v="6"/>
    <d v="2018-05-05T00:00:00"/>
    <d v="2019-01-19T00:00:00"/>
    <x v="1"/>
  </r>
  <r>
    <n v="1108"/>
    <n v="26"/>
    <s v="Male"/>
    <x v="0"/>
    <s v="Senior Analyst"/>
    <s v="John Carter"/>
    <n v="100291"/>
    <n v="16"/>
    <n v="51"/>
    <x v="2"/>
    <n v="1"/>
    <d v="2020-06-21T00:00:00"/>
    <m/>
    <x v="0"/>
  </r>
  <r>
    <n v="1109"/>
    <n v="34"/>
    <s v="Female"/>
    <x v="5"/>
    <s v="Analyst"/>
    <s v="Fatima Noor"/>
    <n v="98907"/>
    <n v="27"/>
    <n v="33"/>
    <x v="1"/>
    <n v="3"/>
    <d v="2020-01-24T00:00:00"/>
    <m/>
    <x v="0"/>
  </r>
  <r>
    <n v="1110"/>
    <n v="28"/>
    <s v="Male"/>
    <x v="3"/>
    <s v="Manager"/>
    <s v="Omar Khalid"/>
    <n v="87540"/>
    <n v="0"/>
    <n v="10"/>
    <x v="1"/>
    <n v="5"/>
    <d v="2021-07-25T00:00:00"/>
    <m/>
    <x v="0"/>
  </r>
  <r>
    <n v="1111"/>
    <n v="41"/>
    <s v="Female"/>
    <x v="4"/>
    <s v="Senior Analyst"/>
    <s v="Ahmad Hassan"/>
    <n v="72592"/>
    <n v="18"/>
    <n v="15"/>
    <x v="4"/>
    <n v="2"/>
    <d v="2019-04-11T00:00:00"/>
    <m/>
    <x v="0"/>
  </r>
  <r>
    <n v="1112"/>
    <n v="54"/>
    <s v="Female"/>
    <x v="2"/>
    <s v="Associate"/>
    <s v="John Carter"/>
    <n v="56543"/>
    <n v="22"/>
    <n v="39"/>
    <x v="2"/>
    <n v="8"/>
    <d v="2019-12-20T00:00:00"/>
    <m/>
    <x v="0"/>
  </r>
  <r>
    <n v="1113"/>
    <n v="33"/>
    <s v="Male"/>
    <x v="4"/>
    <s v="Manager"/>
    <s v="Sarah Lee"/>
    <n v="47252"/>
    <n v="10"/>
    <n v="36"/>
    <x v="3"/>
    <n v="9"/>
    <d v="2022-04-15T00:00:00"/>
    <m/>
    <x v="0"/>
  </r>
  <r>
    <n v="1114"/>
    <n v="57"/>
    <s v="Male"/>
    <x v="3"/>
    <s v="Specialist"/>
    <s v="Emily Brown"/>
    <n v="89968"/>
    <n v="9"/>
    <n v="51"/>
    <x v="5"/>
    <n v="2"/>
    <d v="2015-09-16T00:00:00"/>
    <m/>
    <x v="0"/>
  </r>
  <r>
    <n v="1115"/>
    <n v="28"/>
    <s v="Female"/>
    <x v="3"/>
    <s v="Associate"/>
    <s v="Fatima Noor"/>
    <n v="83674"/>
    <n v="23"/>
    <n v="13"/>
    <x v="3"/>
    <n v="2"/>
    <d v="2022-04-23T00:00:00"/>
    <m/>
    <x v="0"/>
  </r>
  <r>
    <n v="1116"/>
    <n v="25"/>
    <s v="Female"/>
    <x v="1"/>
    <s v="Senior Analyst"/>
    <s v="Fatima Noor"/>
    <n v="45667"/>
    <n v="29"/>
    <n v="51"/>
    <x v="3"/>
    <n v="5"/>
    <d v="2015-03-13T00:00:00"/>
    <m/>
    <x v="0"/>
  </r>
  <r>
    <n v="1117"/>
    <n v="37"/>
    <s v="Female"/>
    <x v="2"/>
    <s v="Manager"/>
    <s v="Sarah Lee"/>
    <n v="57903"/>
    <n v="29"/>
    <n v="42"/>
    <x v="1"/>
    <n v="4"/>
    <d v="2017-02-16T00:00:00"/>
    <m/>
    <x v="0"/>
  </r>
  <r>
    <n v="1118"/>
    <n v="55"/>
    <s v="Male"/>
    <x v="2"/>
    <s v="Associate"/>
    <s v="Sarah Lee"/>
    <n v="86254"/>
    <n v="16"/>
    <n v="21"/>
    <x v="1"/>
    <n v="10"/>
    <d v="2017-11-03T00:00:00"/>
    <m/>
    <x v="0"/>
  </r>
  <r>
    <n v="1119"/>
    <n v="53"/>
    <s v="Male"/>
    <x v="0"/>
    <s v="Senior Analyst"/>
    <s v="John Carter"/>
    <n v="96778"/>
    <n v="28"/>
    <n v="18"/>
    <x v="2"/>
    <n v="6"/>
    <d v="2023-06-19T00:00:00"/>
    <m/>
    <x v="0"/>
  </r>
  <r>
    <n v="1120"/>
    <n v="53"/>
    <s v="Male"/>
    <x v="3"/>
    <s v="Senior Analyst"/>
    <s v="Ahmad Hassan"/>
    <n v="79360"/>
    <n v="18"/>
    <n v="24"/>
    <x v="4"/>
    <n v="8"/>
    <d v="2022-02-23T00:00:00"/>
    <m/>
    <x v="0"/>
  </r>
  <r>
    <n v="1121"/>
    <n v="54"/>
    <s v="Male"/>
    <x v="5"/>
    <s v="Analyst"/>
    <s v="John Carter"/>
    <n v="68020"/>
    <n v="1"/>
    <n v="44"/>
    <x v="1"/>
    <n v="2"/>
    <d v="2015-05-12T00:00:00"/>
    <m/>
    <x v="0"/>
  </r>
  <r>
    <n v="1122"/>
    <n v="22"/>
    <s v="Female"/>
    <x v="5"/>
    <s v="Senior Analyst"/>
    <s v="Sarah Lee"/>
    <n v="96272"/>
    <n v="23"/>
    <n v="55"/>
    <x v="5"/>
    <n v="4"/>
    <d v="2019-03-27T00:00:00"/>
    <d v="2022-04-28T00:00:00"/>
    <x v="1"/>
  </r>
  <r>
    <n v="1123"/>
    <n v="41"/>
    <s v="Female"/>
    <x v="4"/>
    <s v="Specialist"/>
    <s v="Emily Brown"/>
    <n v="58693"/>
    <n v="0"/>
    <n v="44"/>
    <x v="2"/>
    <n v="7"/>
    <d v="2019-06-01T00:00:00"/>
    <m/>
    <x v="0"/>
  </r>
  <r>
    <n v="1124"/>
    <n v="38"/>
    <s v="Male"/>
    <x v="3"/>
    <s v="Associate"/>
    <s v="Sarah Lee"/>
    <n v="85507"/>
    <n v="20"/>
    <n v="51"/>
    <x v="3"/>
    <n v="9"/>
    <d v="2016-04-19T00:00:00"/>
    <m/>
    <x v="0"/>
  </r>
  <r>
    <n v="1125"/>
    <n v="41"/>
    <s v="Male"/>
    <x v="5"/>
    <s v="Manager"/>
    <s v="Fatima Noor"/>
    <n v="67670"/>
    <n v="7"/>
    <n v="37"/>
    <x v="1"/>
    <n v="10"/>
    <d v="2022-12-10T00:00:00"/>
    <m/>
    <x v="0"/>
  </r>
  <r>
    <n v="1126"/>
    <n v="44"/>
    <s v="Male"/>
    <x v="2"/>
    <s v="Associate"/>
    <s v="Fatima Noor"/>
    <n v="69512"/>
    <n v="1"/>
    <n v="1"/>
    <x v="0"/>
    <n v="1"/>
    <d v="2023-11-11T00:00:00"/>
    <m/>
    <x v="0"/>
  </r>
  <r>
    <n v="1127"/>
    <n v="22"/>
    <s v="Male"/>
    <x v="5"/>
    <s v="Specialist"/>
    <s v="Omar Khalid"/>
    <n v="74695"/>
    <n v="26"/>
    <n v="27"/>
    <x v="0"/>
    <n v="2"/>
    <d v="2024-09-04T00:00:00"/>
    <d v="2024-06-13T00:00:00"/>
    <x v="1"/>
  </r>
  <r>
    <n v="1128"/>
    <n v="53"/>
    <s v="Male"/>
    <x v="0"/>
    <s v="Manager"/>
    <s v="Sarah Lee"/>
    <n v="109670"/>
    <n v="15"/>
    <n v="15"/>
    <x v="0"/>
    <n v="6"/>
    <d v="2021-10-07T00:00:00"/>
    <m/>
    <x v="0"/>
  </r>
  <r>
    <n v="1129"/>
    <n v="43"/>
    <s v="Male"/>
    <x v="1"/>
    <s v="Analyst"/>
    <s v="Emily Brown"/>
    <n v="77199"/>
    <n v="10"/>
    <n v="38"/>
    <x v="2"/>
    <n v="2"/>
    <d v="2023-05-15T00:00:00"/>
    <d v="2018-09-11T00:00:00"/>
    <x v="1"/>
  </r>
  <r>
    <n v="1130"/>
    <n v="60"/>
    <s v="Male"/>
    <x v="0"/>
    <s v="Specialist"/>
    <s v="Fatima Noor"/>
    <n v="57724"/>
    <n v="23"/>
    <n v="51"/>
    <x v="3"/>
    <n v="9"/>
    <d v="2016-04-27T00:00:00"/>
    <m/>
    <x v="0"/>
  </r>
  <r>
    <n v="1131"/>
    <n v="43"/>
    <s v="Male"/>
    <x v="5"/>
    <s v="Manager"/>
    <s v="Fatima Noor"/>
    <n v="89999"/>
    <n v="30"/>
    <n v="4"/>
    <x v="5"/>
    <n v="2"/>
    <d v="2018-11-08T00:00:00"/>
    <d v="2023-06-01T00:00:00"/>
    <x v="1"/>
  </r>
  <r>
    <n v="1132"/>
    <n v="53"/>
    <s v="Female"/>
    <x v="2"/>
    <s v="Senior Analyst"/>
    <s v="Sarah Lee"/>
    <n v="53809"/>
    <n v="25"/>
    <n v="48"/>
    <x v="0"/>
    <n v="8"/>
    <d v="2017-03-14T00:00:00"/>
    <m/>
    <x v="0"/>
  </r>
  <r>
    <n v="1133"/>
    <n v="45"/>
    <s v="Female"/>
    <x v="4"/>
    <s v="Associate"/>
    <s v="Sarah Lee"/>
    <n v="103107"/>
    <n v="18"/>
    <n v="52"/>
    <x v="5"/>
    <n v="10"/>
    <d v="2024-06-05T00:00:00"/>
    <d v="2024-07-02T00:00:00"/>
    <x v="1"/>
  </r>
  <r>
    <n v="1134"/>
    <n v="27"/>
    <s v="Male"/>
    <x v="0"/>
    <s v="Senior Analyst"/>
    <s v="Ahmad Hassan"/>
    <n v="90672"/>
    <n v="7"/>
    <n v="22"/>
    <x v="3"/>
    <n v="7"/>
    <d v="2023-09-26T00:00:00"/>
    <m/>
    <x v="0"/>
  </r>
  <r>
    <n v="1135"/>
    <n v="55"/>
    <s v="Male"/>
    <x v="1"/>
    <s v="Specialist"/>
    <s v="Sarah Lee"/>
    <n v="104320"/>
    <n v="13"/>
    <n v="30"/>
    <x v="3"/>
    <n v="7"/>
    <d v="2017-02-18T00:00:00"/>
    <m/>
    <x v="0"/>
  </r>
  <r>
    <n v="1136"/>
    <n v="39"/>
    <s v="Female"/>
    <x v="0"/>
    <s v="Specialist"/>
    <s v="Sarah Lee"/>
    <n v="89035"/>
    <n v="7"/>
    <n v="25"/>
    <x v="5"/>
    <n v="3"/>
    <d v="2020-01-19T00:00:00"/>
    <m/>
    <x v="0"/>
  </r>
  <r>
    <n v="1137"/>
    <n v="24"/>
    <s v="Male"/>
    <x v="2"/>
    <s v="Manager"/>
    <s v="Fatima Noor"/>
    <n v="64823"/>
    <n v="15"/>
    <n v="14"/>
    <x v="5"/>
    <n v="8"/>
    <d v="2015-09-27T00:00:00"/>
    <m/>
    <x v="0"/>
  </r>
  <r>
    <n v="1138"/>
    <n v="34"/>
    <s v="Female"/>
    <x v="4"/>
    <s v="Senior Analyst"/>
    <s v="Sarah Lee"/>
    <n v="108984"/>
    <n v="4"/>
    <n v="49"/>
    <x v="2"/>
    <n v="3"/>
    <d v="2023-01-15T00:00:00"/>
    <m/>
    <x v="0"/>
  </r>
  <r>
    <n v="1139"/>
    <n v="57"/>
    <s v="Female"/>
    <x v="4"/>
    <s v="Specialist"/>
    <s v="David Miller"/>
    <n v="93122"/>
    <n v="1"/>
    <n v="53"/>
    <x v="0"/>
    <n v="5"/>
    <d v="2017-07-25T00:00:00"/>
    <m/>
    <x v="0"/>
  </r>
  <r>
    <n v="1140"/>
    <n v="54"/>
    <s v="Male"/>
    <x v="2"/>
    <s v="Senior Analyst"/>
    <s v="David Miller"/>
    <n v="89859"/>
    <n v="22"/>
    <n v="37"/>
    <x v="4"/>
    <n v="5"/>
    <d v="2021-09-14T00:00:00"/>
    <d v="2021-04-28T00:00:00"/>
    <x v="1"/>
  </r>
  <r>
    <n v="1141"/>
    <n v="31"/>
    <s v="Female"/>
    <x v="3"/>
    <s v="Senior Analyst"/>
    <s v="Omar Khalid"/>
    <n v="66928"/>
    <n v="18"/>
    <n v="5"/>
    <x v="5"/>
    <n v="6"/>
    <d v="2024-03-10T00:00:00"/>
    <d v="2021-06-02T00:00:00"/>
    <x v="1"/>
  </r>
  <r>
    <n v="1142"/>
    <n v="26"/>
    <s v="Male"/>
    <x v="1"/>
    <s v="Senior Analyst"/>
    <s v="Omar Khalid"/>
    <n v="49076"/>
    <n v="25"/>
    <n v="9"/>
    <x v="0"/>
    <n v="1"/>
    <d v="2018-11-04T00:00:00"/>
    <m/>
    <x v="0"/>
  </r>
  <r>
    <n v="1143"/>
    <n v="47"/>
    <s v="Female"/>
    <x v="2"/>
    <s v="Manager"/>
    <s v="David Miller"/>
    <n v="55842"/>
    <n v="24"/>
    <n v="27"/>
    <x v="1"/>
    <n v="3"/>
    <d v="2024-04-20T00:00:00"/>
    <m/>
    <x v="0"/>
  </r>
  <r>
    <n v="1144"/>
    <n v="56"/>
    <s v="Female"/>
    <x v="2"/>
    <s v="Senior Analyst"/>
    <s v="John Carter"/>
    <n v="84090"/>
    <n v="14"/>
    <n v="1"/>
    <x v="0"/>
    <n v="6"/>
    <d v="2020-11-09T00:00:00"/>
    <m/>
    <x v="0"/>
  </r>
  <r>
    <n v="1145"/>
    <n v="23"/>
    <s v="Male"/>
    <x v="4"/>
    <s v="Specialist"/>
    <s v="Sarah Lee"/>
    <n v="88156"/>
    <n v="29"/>
    <n v="45"/>
    <x v="4"/>
    <n v="10"/>
    <d v="2015-01-14T00:00:00"/>
    <d v="2020-10-11T00:00:00"/>
    <x v="1"/>
  </r>
  <r>
    <n v="1146"/>
    <n v="26"/>
    <s v="Female"/>
    <x v="1"/>
    <s v="Manager"/>
    <s v="Omar Khalid"/>
    <n v="76414"/>
    <n v="22"/>
    <n v="4"/>
    <x v="1"/>
    <n v="8"/>
    <d v="2017-07-05T00:00:00"/>
    <m/>
    <x v="0"/>
  </r>
  <r>
    <n v="1147"/>
    <n v="27"/>
    <s v="Female"/>
    <x v="0"/>
    <s v="Senior Analyst"/>
    <s v="David Miller"/>
    <n v="95941"/>
    <n v="0"/>
    <n v="33"/>
    <x v="1"/>
    <n v="7"/>
    <d v="2019-09-15T00:00:00"/>
    <d v="2018-09-07T00:00:00"/>
    <x v="1"/>
  </r>
  <r>
    <n v="1148"/>
    <n v="31"/>
    <s v="Male"/>
    <x v="2"/>
    <s v="Analyst"/>
    <s v="Sarah Lee"/>
    <n v="91870"/>
    <n v="8"/>
    <n v="2"/>
    <x v="0"/>
    <n v="5"/>
    <d v="2019-12-27T00:00:00"/>
    <m/>
    <x v="0"/>
  </r>
  <r>
    <n v="1149"/>
    <n v="60"/>
    <s v="Male"/>
    <x v="3"/>
    <s v="Associate"/>
    <s v="David Miller"/>
    <n v="97372"/>
    <n v="16"/>
    <n v="17"/>
    <x v="5"/>
    <n v="6"/>
    <d v="2015-10-01T00:00:00"/>
    <m/>
    <x v="0"/>
  </r>
  <r>
    <n v="1150"/>
    <n v="30"/>
    <s v="Female"/>
    <x v="2"/>
    <s v="Specialist"/>
    <s v="Omar Khalid"/>
    <n v="102068"/>
    <n v="7"/>
    <n v="14"/>
    <x v="3"/>
    <n v="9"/>
    <d v="2020-01-09T00:00:00"/>
    <m/>
    <x v="0"/>
  </r>
  <r>
    <n v="1151"/>
    <n v="34"/>
    <s v="Male"/>
    <x v="0"/>
    <s v="Senior Analyst"/>
    <s v="Ahmad Hassan"/>
    <n v="54458"/>
    <n v="9"/>
    <n v="33"/>
    <x v="2"/>
    <n v="1"/>
    <d v="2017-03-23T00:00:00"/>
    <m/>
    <x v="0"/>
  </r>
  <r>
    <n v="1152"/>
    <n v="27"/>
    <s v="Male"/>
    <x v="1"/>
    <s v="Associate"/>
    <s v="Sarah Lee"/>
    <n v="91439"/>
    <n v="26"/>
    <n v="51"/>
    <x v="0"/>
    <n v="4"/>
    <d v="2019-07-03T00:00:00"/>
    <m/>
    <x v="0"/>
  </r>
  <r>
    <n v="1153"/>
    <n v="35"/>
    <s v="Male"/>
    <x v="3"/>
    <s v="Specialist"/>
    <s v="David Miller"/>
    <n v="50137"/>
    <n v="30"/>
    <n v="59"/>
    <x v="5"/>
    <n v="4"/>
    <d v="2022-07-27T00:00:00"/>
    <m/>
    <x v="0"/>
  </r>
  <r>
    <n v="1154"/>
    <n v="40"/>
    <s v="Female"/>
    <x v="5"/>
    <s v="Specialist"/>
    <s v="Sarah Lee"/>
    <n v="85095"/>
    <n v="26"/>
    <n v="11"/>
    <x v="5"/>
    <n v="1"/>
    <d v="2015-12-09T00:00:00"/>
    <d v="2019-06-06T00:00:00"/>
    <x v="1"/>
  </r>
  <r>
    <n v="1155"/>
    <n v="57"/>
    <s v="Female"/>
    <x v="5"/>
    <s v="Manager"/>
    <s v="John Carter"/>
    <n v="75947"/>
    <n v="5"/>
    <n v="11"/>
    <x v="5"/>
    <n v="10"/>
    <d v="2016-06-20T00:00:00"/>
    <m/>
    <x v="0"/>
  </r>
  <r>
    <n v="1156"/>
    <n v="56"/>
    <s v="Female"/>
    <x v="4"/>
    <s v="Analyst"/>
    <s v="Sarah Lee"/>
    <n v="99259"/>
    <n v="3"/>
    <n v="51"/>
    <x v="4"/>
    <n v="8"/>
    <d v="2021-03-19T00:00:00"/>
    <m/>
    <x v="0"/>
  </r>
  <r>
    <n v="1157"/>
    <n v="25"/>
    <s v="Female"/>
    <x v="5"/>
    <s v="Associate"/>
    <s v="Fatima Noor"/>
    <n v="50494"/>
    <n v="6"/>
    <n v="58"/>
    <x v="0"/>
    <n v="5"/>
    <d v="2018-06-19T00:00:00"/>
    <m/>
    <x v="0"/>
  </r>
  <r>
    <n v="1158"/>
    <n v="54"/>
    <s v="Male"/>
    <x v="0"/>
    <s v="Manager"/>
    <s v="David Miller"/>
    <n v="77060"/>
    <n v="21"/>
    <n v="60"/>
    <x v="2"/>
    <n v="9"/>
    <d v="2023-09-25T00:00:00"/>
    <d v="2024-12-10T00:00:00"/>
    <x v="1"/>
  </r>
  <r>
    <n v="1159"/>
    <n v="54"/>
    <s v="Female"/>
    <x v="3"/>
    <s v="Manager"/>
    <s v="Omar Khalid"/>
    <n v="56135"/>
    <n v="25"/>
    <n v="52"/>
    <x v="3"/>
    <n v="4"/>
    <d v="2023-07-05T00:00:00"/>
    <m/>
    <x v="0"/>
  </r>
  <r>
    <n v="1160"/>
    <n v="57"/>
    <s v="Male"/>
    <x v="3"/>
    <s v="Manager"/>
    <s v="John Carter"/>
    <n v="72316"/>
    <n v="9"/>
    <n v="32"/>
    <x v="3"/>
    <n v="5"/>
    <d v="2022-04-20T00:00:00"/>
    <m/>
    <x v="0"/>
  </r>
  <r>
    <n v="1161"/>
    <n v="26"/>
    <s v="Female"/>
    <x v="3"/>
    <s v="Senior Analyst"/>
    <s v="David Miller"/>
    <n v="107327"/>
    <n v="9"/>
    <n v="8"/>
    <x v="4"/>
    <n v="3"/>
    <d v="2022-06-03T00:00:00"/>
    <d v="2018-02-10T00:00:00"/>
    <x v="1"/>
  </r>
  <r>
    <n v="1162"/>
    <n v="25"/>
    <s v="Female"/>
    <x v="5"/>
    <s v="Senior Analyst"/>
    <s v="Ahmad Hassan"/>
    <n v="79213"/>
    <n v="18"/>
    <n v="45"/>
    <x v="4"/>
    <n v="5"/>
    <d v="2024-11-07T00:00:00"/>
    <m/>
    <x v="0"/>
  </r>
  <r>
    <n v="1163"/>
    <n v="25"/>
    <s v="Female"/>
    <x v="2"/>
    <s v="Specialist"/>
    <s v="David Miller"/>
    <n v="72281"/>
    <n v="11"/>
    <n v="36"/>
    <x v="0"/>
    <n v="10"/>
    <d v="2023-06-27T00:00:00"/>
    <d v="2021-07-23T00:00:00"/>
    <x v="1"/>
  </r>
  <r>
    <n v="1164"/>
    <n v="57"/>
    <s v="Male"/>
    <x v="5"/>
    <s v="Analyst"/>
    <s v="Fatima Noor"/>
    <n v="69098"/>
    <n v="9"/>
    <n v="53"/>
    <x v="4"/>
    <n v="2"/>
    <d v="2024-12-23T00:00:00"/>
    <m/>
    <x v="0"/>
  </r>
  <r>
    <n v="1165"/>
    <n v="36"/>
    <s v="Male"/>
    <x v="0"/>
    <s v="Analyst"/>
    <s v="Ahmad Hassan"/>
    <n v="93372"/>
    <n v="5"/>
    <n v="10"/>
    <x v="2"/>
    <n v="7"/>
    <d v="2017-09-20T00:00:00"/>
    <m/>
    <x v="0"/>
  </r>
  <r>
    <n v="1166"/>
    <n v="21"/>
    <s v="Male"/>
    <x v="0"/>
    <s v="Manager"/>
    <s v="Omar Khalid"/>
    <n v="54987"/>
    <n v="27"/>
    <n v="30"/>
    <x v="0"/>
    <n v="7"/>
    <d v="2017-12-26T00:00:00"/>
    <d v="2023-02-27T00:00:00"/>
    <x v="1"/>
  </r>
  <r>
    <n v="1167"/>
    <n v="46"/>
    <s v="Male"/>
    <x v="0"/>
    <s v="Associate"/>
    <s v="Ahmad Hassan"/>
    <n v="99245"/>
    <n v="29"/>
    <n v="49"/>
    <x v="2"/>
    <n v="6"/>
    <d v="2023-10-13T00:00:00"/>
    <m/>
    <x v="0"/>
  </r>
  <r>
    <n v="1168"/>
    <n v="48"/>
    <s v="Male"/>
    <x v="0"/>
    <s v="Manager"/>
    <s v="Emily Brown"/>
    <n v="101626"/>
    <n v="21"/>
    <n v="58"/>
    <x v="0"/>
    <n v="8"/>
    <d v="2021-11-28T00:00:00"/>
    <m/>
    <x v="0"/>
  </r>
  <r>
    <n v="1169"/>
    <n v="45"/>
    <s v="Female"/>
    <x v="2"/>
    <s v="Senior Analyst"/>
    <s v="Fatima Noor"/>
    <n v="71520"/>
    <n v="7"/>
    <n v="48"/>
    <x v="1"/>
    <n v="4"/>
    <d v="2019-08-03T00:00:00"/>
    <m/>
    <x v="0"/>
  </r>
  <r>
    <n v="1170"/>
    <n v="21"/>
    <s v="Male"/>
    <x v="2"/>
    <s v="Senior Analyst"/>
    <s v="Emily Brown"/>
    <n v="56710"/>
    <n v="3"/>
    <n v="49"/>
    <x v="3"/>
    <n v="3"/>
    <d v="2020-05-17T00:00:00"/>
    <m/>
    <x v="0"/>
  </r>
  <r>
    <n v="1171"/>
    <n v="27"/>
    <s v="Male"/>
    <x v="5"/>
    <s v="Manager"/>
    <s v="Ahmad Hassan"/>
    <n v="103207"/>
    <n v="20"/>
    <n v="3"/>
    <x v="2"/>
    <n v="3"/>
    <d v="2019-02-18T00:00:00"/>
    <d v="2021-05-19T00:00:00"/>
    <x v="1"/>
  </r>
  <r>
    <n v="1172"/>
    <n v="60"/>
    <s v="Female"/>
    <x v="2"/>
    <s v="Associate"/>
    <s v="Omar Khalid"/>
    <n v="82136"/>
    <n v="13"/>
    <n v="29"/>
    <x v="0"/>
    <n v="8"/>
    <d v="2021-07-17T00:00:00"/>
    <d v="2020-08-27T00:00:00"/>
    <x v="1"/>
  </r>
  <r>
    <n v="1173"/>
    <n v="39"/>
    <s v="Female"/>
    <x v="1"/>
    <s v="Associate"/>
    <s v="David Miller"/>
    <n v="55995"/>
    <n v="23"/>
    <n v="26"/>
    <x v="2"/>
    <n v="6"/>
    <d v="2019-11-14T00:00:00"/>
    <d v="2017-02-09T00:00:00"/>
    <x v="1"/>
  </r>
  <r>
    <n v="1174"/>
    <n v="41"/>
    <s v="Female"/>
    <x v="2"/>
    <s v="Specialist"/>
    <s v="Ahmad Hassan"/>
    <n v="83353"/>
    <n v="3"/>
    <n v="28"/>
    <x v="0"/>
    <n v="8"/>
    <d v="2018-05-07T00:00:00"/>
    <m/>
    <x v="0"/>
  </r>
  <r>
    <n v="1175"/>
    <n v="58"/>
    <s v="Female"/>
    <x v="4"/>
    <s v="Associate"/>
    <s v="Omar Khalid"/>
    <n v="102682"/>
    <n v="16"/>
    <n v="4"/>
    <x v="5"/>
    <n v="1"/>
    <d v="2015-11-19T00:00:00"/>
    <m/>
    <x v="0"/>
  </r>
  <r>
    <n v="1176"/>
    <n v="34"/>
    <s v="Male"/>
    <x v="5"/>
    <s v="Associate"/>
    <s v="Emily Brown"/>
    <n v="87282"/>
    <n v="15"/>
    <n v="59"/>
    <x v="5"/>
    <n v="7"/>
    <d v="2023-04-01T00:00:00"/>
    <m/>
    <x v="0"/>
  </r>
  <r>
    <n v="1177"/>
    <n v="57"/>
    <s v="Female"/>
    <x v="3"/>
    <s v="Analyst"/>
    <s v="Omar Khalid"/>
    <n v="78505"/>
    <n v="25"/>
    <n v="2"/>
    <x v="1"/>
    <n v="10"/>
    <d v="2016-06-25T00:00:00"/>
    <d v="2017-01-16T00:00:00"/>
    <x v="1"/>
  </r>
  <r>
    <n v="1178"/>
    <n v="30"/>
    <s v="Male"/>
    <x v="5"/>
    <s v="Analyst"/>
    <s v="Sarah Lee"/>
    <n v="78866"/>
    <n v="15"/>
    <n v="39"/>
    <x v="3"/>
    <n v="6"/>
    <d v="2021-09-10T00:00:00"/>
    <m/>
    <x v="0"/>
  </r>
  <r>
    <n v="1179"/>
    <n v="22"/>
    <s v="Male"/>
    <x v="0"/>
    <s v="Manager"/>
    <s v="John Carter"/>
    <n v="54967"/>
    <n v="30"/>
    <n v="32"/>
    <x v="4"/>
    <n v="3"/>
    <d v="2020-01-12T00:00:00"/>
    <d v="2022-05-05T00:00:00"/>
    <x v="1"/>
  </r>
  <r>
    <n v="1180"/>
    <n v="49"/>
    <s v="Male"/>
    <x v="4"/>
    <s v="Senior Analyst"/>
    <s v="Fatima Noor"/>
    <n v="79975"/>
    <n v="10"/>
    <n v="23"/>
    <x v="4"/>
    <n v="5"/>
    <d v="2022-10-27T00:00:00"/>
    <d v="2022-08-27T00:00:00"/>
    <x v="1"/>
  </r>
  <r>
    <n v="1181"/>
    <n v="31"/>
    <s v="Male"/>
    <x v="0"/>
    <s v="Associate"/>
    <s v="Fatima Noor"/>
    <n v="50661"/>
    <n v="9"/>
    <n v="15"/>
    <x v="2"/>
    <n v="10"/>
    <d v="2017-04-19T00:00:00"/>
    <m/>
    <x v="0"/>
  </r>
  <r>
    <n v="1182"/>
    <n v="50"/>
    <s v="Male"/>
    <x v="1"/>
    <s v="Manager"/>
    <s v="John Carter"/>
    <n v="61382"/>
    <n v="28"/>
    <n v="60"/>
    <x v="2"/>
    <n v="8"/>
    <d v="2018-12-21T00:00:00"/>
    <d v="2019-05-10T00:00:00"/>
    <x v="1"/>
  </r>
  <r>
    <n v="1183"/>
    <n v="58"/>
    <s v="Female"/>
    <x v="2"/>
    <s v="Specialist"/>
    <s v="Sarah Lee"/>
    <n v="79097"/>
    <n v="21"/>
    <n v="7"/>
    <x v="1"/>
    <n v="3"/>
    <d v="2022-07-18T00:00:00"/>
    <m/>
    <x v="0"/>
  </r>
  <r>
    <n v="1184"/>
    <n v="35"/>
    <s v="Female"/>
    <x v="3"/>
    <s v="Specialist"/>
    <s v="Emily Brown"/>
    <n v="91061"/>
    <n v="15"/>
    <n v="43"/>
    <x v="5"/>
    <n v="8"/>
    <d v="2022-02-02T00:00:00"/>
    <m/>
    <x v="0"/>
  </r>
  <r>
    <n v="1185"/>
    <n v="38"/>
    <s v="Male"/>
    <x v="2"/>
    <s v="Specialist"/>
    <s v="Emily Brown"/>
    <n v="84207"/>
    <n v="18"/>
    <n v="27"/>
    <x v="3"/>
    <n v="9"/>
    <d v="2019-03-26T00:00:00"/>
    <m/>
    <x v="0"/>
  </r>
  <r>
    <n v="1186"/>
    <n v="44"/>
    <s v="Female"/>
    <x v="1"/>
    <s v="Manager"/>
    <s v="John Carter"/>
    <n v="95945"/>
    <n v="22"/>
    <n v="12"/>
    <x v="3"/>
    <n v="10"/>
    <d v="2018-03-17T00:00:00"/>
    <m/>
    <x v="0"/>
  </r>
  <r>
    <n v="1187"/>
    <n v="27"/>
    <s v="Male"/>
    <x v="2"/>
    <s v="Specialist"/>
    <s v="Omar Khalid"/>
    <n v="78749"/>
    <n v="22"/>
    <n v="46"/>
    <x v="4"/>
    <n v="9"/>
    <d v="2020-07-11T00:00:00"/>
    <m/>
    <x v="0"/>
  </r>
  <r>
    <n v="1188"/>
    <n v="28"/>
    <s v="Male"/>
    <x v="5"/>
    <s v="Senior Analyst"/>
    <s v="Fatima Noor"/>
    <n v="88945"/>
    <n v="29"/>
    <n v="27"/>
    <x v="5"/>
    <n v="3"/>
    <d v="2021-04-20T00:00:00"/>
    <d v="2019-01-08T00:00:00"/>
    <x v="1"/>
  </r>
  <r>
    <n v="1189"/>
    <n v="55"/>
    <s v="Male"/>
    <x v="5"/>
    <s v="Specialist"/>
    <s v="Omar Khalid"/>
    <n v="89299"/>
    <n v="27"/>
    <n v="14"/>
    <x v="5"/>
    <n v="1"/>
    <d v="2020-06-17T00:00:00"/>
    <d v="2024-01-12T00:00:00"/>
    <x v="1"/>
  </r>
  <r>
    <n v="1190"/>
    <n v="57"/>
    <s v="Female"/>
    <x v="3"/>
    <s v="Manager"/>
    <s v="John Carter"/>
    <n v="74141"/>
    <n v="7"/>
    <n v="45"/>
    <x v="1"/>
    <n v="1"/>
    <d v="2024-03-07T00:00:00"/>
    <m/>
    <x v="0"/>
  </r>
  <r>
    <n v="1191"/>
    <n v="41"/>
    <s v="Female"/>
    <x v="0"/>
    <s v="Analyst"/>
    <s v="Ahmad Hassan"/>
    <n v="107196"/>
    <n v="29"/>
    <n v="22"/>
    <x v="0"/>
    <n v="9"/>
    <d v="2020-01-19T00:00:00"/>
    <m/>
    <x v="0"/>
  </r>
  <r>
    <n v="1192"/>
    <n v="23"/>
    <s v="Female"/>
    <x v="0"/>
    <s v="Analyst"/>
    <s v="Ahmad Hassan"/>
    <n v="93153"/>
    <n v="10"/>
    <n v="50"/>
    <x v="1"/>
    <n v="4"/>
    <d v="2020-11-06T00:00:00"/>
    <m/>
    <x v="0"/>
  </r>
  <r>
    <n v="1193"/>
    <n v="44"/>
    <s v="Male"/>
    <x v="4"/>
    <s v="Specialist"/>
    <s v="Omar Khalid"/>
    <n v="96516"/>
    <n v="30"/>
    <n v="4"/>
    <x v="1"/>
    <n v="8"/>
    <d v="2019-07-10T00:00:00"/>
    <m/>
    <x v="0"/>
  </r>
  <r>
    <n v="1194"/>
    <n v="44"/>
    <s v="Female"/>
    <x v="5"/>
    <s v="Specialist"/>
    <s v="John Carter"/>
    <n v="80097"/>
    <n v="2"/>
    <n v="37"/>
    <x v="3"/>
    <n v="5"/>
    <d v="2019-10-12T00:00:00"/>
    <m/>
    <x v="0"/>
  </r>
  <r>
    <n v="1195"/>
    <n v="47"/>
    <s v="Male"/>
    <x v="2"/>
    <s v="Senior Analyst"/>
    <s v="Sarah Lee"/>
    <n v="89762"/>
    <n v="30"/>
    <n v="12"/>
    <x v="0"/>
    <n v="3"/>
    <d v="2022-07-25T00:00:00"/>
    <m/>
    <x v="0"/>
  </r>
  <r>
    <n v="1196"/>
    <n v="52"/>
    <s v="Female"/>
    <x v="2"/>
    <s v="Associate"/>
    <s v="Sarah Lee"/>
    <n v="56769"/>
    <n v="3"/>
    <n v="10"/>
    <x v="2"/>
    <n v="8"/>
    <d v="2020-07-02T00:00:00"/>
    <m/>
    <x v="0"/>
  </r>
  <r>
    <n v="1197"/>
    <n v="43"/>
    <s v="Female"/>
    <x v="0"/>
    <s v="Associate"/>
    <s v="Sarah Lee"/>
    <n v="66664"/>
    <n v="2"/>
    <n v="53"/>
    <x v="1"/>
    <n v="9"/>
    <d v="2024-06-12T00:00:00"/>
    <m/>
    <x v="0"/>
  </r>
  <r>
    <n v="1198"/>
    <n v="49"/>
    <s v="Female"/>
    <x v="4"/>
    <s v="Senior Analyst"/>
    <s v="Ahmad Hassan"/>
    <n v="68203"/>
    <n v="1"/>
    <n v="11"/>
    <x v="0"/>
    <n v="2"/>
    <d v="2015-10-18T00:00:00"/>
    <m/>
    <x v="0"/>
  </r>
  <r>
    <n v="1199"/>
    <n v="41"/>
    <s v="Male"/>
    <x v="0"/>
    <s v="Analyst"/>
    <s v="John Carter"/>
    <n v="50204"/>
    <n v="18"/>
    <n v="50"/>
    <x v="2"/>
    <n v="5"/>
    <d v="2021-07-08T00:00:00"/>
    <m/>
    <x v="0"/>
  </r>
  <r>
    <n v="1200"/>
    <n v="35"/>
    <s v="Female"/>
    <x v="4"/>
    <s v="Senior Analyst"/>
    <s v="Sarah Lee"/>
    <n v="54552"/>
    <n v="17"/>
    <n v="53"/>
    <x v="4"/>
    <n v="6"/>
    <d v="2015-03-01T00:00:00"/>
    <d v="2022-07-11T00:00:00"/>
    <x v="1"/>
  </r>
  <r>
    <n v="1201"/>
    <n v="36"/>
    <s v="Female"/>
    <x v="4"/>
    <s v="Senior Analyst"/>
    <s v="Omar Khalid"/>
    <n v="86988"/>
    <n v="13"/>
    <n v="10"/>
    <x v="1"/>
    <n v="6"/>
    <d v="2018-11-12T00:00:00"/>
    <m/>
    <x v="0"/>
  </r>
  <r>
    <n v="1202"/>
    <n v="47"/>
    <s v="Female"/>
    <x v="5"/>
    <s v="Senior Analyst"/>
    <s v="Ahmad Hassan"/>
    <n v="103293"/>
    <n v="29"/>
    <n v="19"/>
    <x v="5"/>
    <n v="7"/>
    <d v="2022-07-18T00:00:00"/>
    <m/>
    <x v="0"/>
  </r>
  <r>
    <n v="1203"/>
    <n v="54"/>
    <s v="Female"/>
    <x v="4"/>
    <s v="Senior Analyst"/>
    <s v="Fatima Noor"/>
    <n v="99613"/>
    <n v="22"/>
    <n v="36"/>
    <x v="0"/>
    <n v="10"/>
    <d v="2020-01-23T00:00:00"/>
    <m/>
    <x v="0"/>
  </r>
  <r>
    <n v="1204"/>
    <n v="27"/>
    <s v="Female"/>
    <x v="4"/>
    <s v="Associate"/>
    <s v="Fatima Noor"/>
    <n v="82752"/>
    <n v="10"/>
    <n v="22"/>
    <x v="1"/>
    <n v="2"/>
    <d v="2016-03-22T00:00:00"/>
    <m/>
    <x v="0"/>
  </r>
  <r>
    <n v="1205"/>
    <n v="38"/>
    <s v="Female"/>
    <x v="5"/>
    <s v="Associate"/>
    <s v="Fatima Noor"/>
    <n v="97196"/>
    <n v="0"/>
    <n v="10"/>
    <x v="0"/>
    <n v="7"/>
    <d v="2021-02-14T00:00:00"/>
    <m/>
    <x v="0"/>
  </r>
  <r>
    <n v="1206"/>
    <n v="50"/>
    <s v="Female"/>
    <x v="0"/>
    <s v="Specialist"/>
    <s v="Omar Khalid"/>
    <n v="103326"/>
    <n v="12"/>
    <n v="8"/>
    <x v="4"/>
    <n v="8"/>
    <d v="2020-02-20T00:00:00"/>
    <m/>
    <x v="0"/>
  </r>
  <r>
    <n v="1207"/>
    <n v="40"/>
    <s v="Male"/>
    <x v="5"/>
    <s v="Manager"/>
    <s v="Sarah Lee"/>
    <n v="106148"/>
    <n v="0"/>
    <n v="9"/>
    <x v="5"/>
    <n v="3"/>
    <d v="2023-08-10T00:00:00"/>
    <m/>
    <x v="0"/>
  </r>
  <r>
    <n v="1208"/>
    <n v="28"/>
    <s v="Female"/>
    <x v="4"/>
    <s v="Senior Analyst"/>
    <s v="Sarah Lee"/>
    <n v="104930"/>
    <n v="19"/>
    <n v="32"/>
    <x v="3"/>
    <n v="4"/>
    <d v="2023-08-18T00:00:00"/>
    <m/>
    <x v="0"/>
  </r>
  <r>
    <n v="1209"/>
    <n v="59"/>
    <s v="Male"/>
    <x v="3"/>
    <s v="Senior Analyst"/>
    <s v="John Carter"/>
    <n v="52900"/>
    <n v="21"/>
    <n v="15"/>
    <x v="0"/>
    <n v="9"/>
    <d v="2021-12-14T00:00:00"/>
    <d v="2024-12-22T00:00:00"/>
    <x v="1"/>
  </r>
  <r>
    <n v="1210"/>
    <n v="55"/>
    <s v="Female"/>
    <x v="2"/>
    <s v="Associate"/>
    <s v="Omar Khalid"/>
    <n v="56213"/>
    <n v="26"/>
    <n v="4"/>
    <x v="5"/>
    <n v="9"/>
    <d v="2020-03-11T00:00:00"/>
    <m/>
    <x v="0"/>
  </r>
  <r>
    <n v="1211"/>
    <n v="52"/>
    <s v="Female"/>
    <x v="1"/>
    <s v="Associate"/>
    <s v="Fatima Noor"/>
    <n v="108167"/>
    <n v="24"/>
    <n v="14"/>
    <x v="2"/>
    <n v="8"/>
    <d v="2018-12-24T00:00:00"/>
    <m/>
    <x v="0"/>
  </r>
  <r>
    <n v="1212"/>
    <n v="53"/>
    <s v="Male"/>
    <x v="5"/>
    <s v="Senior Analyst"/>
    <s v="John Carter"/>
    <n v="75427"/>
    <n v="12"/>
    <n v="31"/>
    <x v="1"/>
    <n v="7"/>
    <d v="2019-06-07T00:00:00"/>
    <m/>
    <x v="0"/>
  </r>
  <r>
    <n v="1213"/>
    <n v="57"/>
    <s v="Female"/>
    <x v="0"/>
    <s v="Senior Analyst"/>
    <s v="John Carter"/>
    <n v="96244"/>
    <n v="22"/>
    <n v="27"/>
    <x v="0"/>
    <n v="5"/>
    <d v="2024-04-09T00:00:00"/>
    <m/>
    <x v="0"/>
  </r>
  <r>
    <n v="1214"/>
    <n v="26"/>
    <s v="Female"/>
    <x v="5"/>
    <s v="Associate"/>
    <s v="Sarah Lee"/>
    <n v="68888"/>
    <n v="9"/>
    <n v="55"/>
    <x v="4"/>
    <n v="5"/>
    <d v="2017-07-14T00:00:00"/>
    <m/>
    <x v="0"/>
  </r>
  <r>
    <n v="1215"/>
    <n v="46"/>
    <s v="Male"/>
    <x v="5"/>
    <s v="Specialist"/>
    <s v="John Carter"/>
    <n v="78515"/>
    <n v="26"/>
    <n v="14"/>
    <x v="1"/>
    <n v="8"/>
    <d v="2018-08-20T00:00:00"/>
    <m/>
    <x v="0"/>
  </r>
  <r>
    <n v="1216"/>
    <n v="33"/>
    <s v="Female"/>
    <x v="4"/>
    <s v="Associate"/>
    <s v="Sarah Lee"/>
    <n v="50533"/>
    <n v="3"/>
    <n v="20"/>
    <x v="0"/>
    <n v="4"/>
    <d v="2015-12-26T00:00:00"/>
    <m/>
    <x v="0"/>
  </r>
  <r>
    <n v="1217"/>
    <n v="46"/>
    <s v="Male"/>
    <x v="4"/>
    <s v="Associate"/>
    <s v="Fatima Noor"/>
    <n v="64469"/>
    <n v="24"/>
    <n v="11"/>
    <x v="4"/>
    <n v="8"/>
    <d v="2020-06-27T00:00:00"/>
    <d v="2017-09-24T00:00:00"/>
    <x v="1"/>
  </r>
  <r>
    <n v="1218"/>
    <n v="53"/>
    <s v="Male"/>
    <x v="2"/>
    <s v="Senior Analyst"/>
    <s v="John Carter"/>
    <n v="77232"/>
    <n v="22"/>
    <n v="55"/>
    <x v="2"/>
    <n v="9"/>
    <d v="2018-12-12T00:00:00"/>
    <m/>
    <x v="0"/>
  </r>
  <r>
    <n v="1219"/>
    <n v="59"/>
    <s v="Male"/>
    <x v="5"/>
    <s v="Manager"/>
    <s v="Ahmad Hassan"/>
    <n v="85804"/>
    <n v="0"/>
    <n v="19"/>
    <x v="5"/>
    <n v="9"/>
    <d v="2023-09-16T00:00:00"/>
    <m/>
    <x v="0"/>
  </r>
  <r>
    <n v="1220"/>
    <n v="30"/>
    <s v="Female"/>
    <x v="5"/>
    <s v="Senior Analyst"/>
    <s v="Fatima Noor"/>
    <n v="50081"/>
    <n v="17"/>
    <n v="56"/>
    <x v="3"/>
    <n v="3"/>
    <d v="2022-04-09T00:00:00"/>
    <m/>
    <x v="0"/>
  </r>
  <r>
    <n v="1221"/>
    <n v="29"/>
    <s v="Female"/>
    <x v="4"/>
    <s v="Analyst"/>
    <s v="Ahmad Hassan"/>
    <n v="102577"/>
    <n v="11"/>
    <n v="56"/>
    <x v="5"/>
    <n v="1"/>
    <d v="2021-03-20T00:00:00"/>
    <m/>
    <x v="0"/>
  </r>
  <r>
    <n v="1222"/>
    <n v="26"/>
    <s v="Male"/>
    <x v="4"/>
    <s v="Manager"/>
    <s v="Fatima Noor"/>
    <n v="59318"/>
    <n v="24"/>
    <n v="54"/>
    <x v="0"/>
    <n v="9"/>
    <d v="2017-10-05T00:00:00"/>
    <m/>
    <x v="0"/>
  </r>
  <r>
    <n v="1223"/>
    <n v="34"/>
    <s v="Male"/>
    <x v="2"/>
    <s v="Senior Analyst"/>
    <s v="Fatima Noor"/>
    <n v="62349"/>
    <n v="5"/>
    <n v="49"/>
    <x v="1"/>
    <n v="5"/>
    <d v="2020-08-27T00:00:00"/>
    <m/>
    <x v="0"/>
  </r>
  <r>
    <n v="1224"/>
    <n v="54"/>
    <s v="Male"/>
    <x v="3"/>
    <s v="Specialist"/>
    <s v="Sarah Lee"/>
    <n v="97360"/>
    <n v="15"/>
    <n v="19"/>
    <x v="4"/>
    <n v="2"/>
    <d v="2018-04-25T00:00:00"/>
    <m/>
    <x v="0"/>
  </r>
  <r>
    <n v="1225"/>
    <n v="56"/>
    <s v="Female"/>
    <x v="0"/>
    <s v="Associate"/>
    <s v="John Carter"/>
    <n v="63318"/>
    <n v="28"/>
    <n v="58"/>
    <x v="2"/>
    <n v="10"/>
    <d v="2023-09-12T00:00:00"/>
    <d v="2024-08-18T00:00:00"/>
    <x v="1"/>
  </r>
  <r>
    <n v="1226"/>
    <n v="46"/>
    <s v="Male"/>
    <x v="4"/>
    <s v="Manager"/>
    <s v="David Miller"/>
    <n v="72227"/>
    <n v="22"/>
    <n v="53"/>
    <x v="4"/>
    <n v="5"/>
    <d v="2019-07-09T00:00:00"/>
    <d v="2021-01-27T00:00:00"/>
    <x v="1"/>
  </r>
  <r>
    <n v="1227"/>
    <n v="54"/>
    <s v="Male"/>
    <x v="0"/>
    <s v="Associate"/>
    <s v="Emily Brown"/>
    <n v="73673"/>
    <n v="0"/>
    <n v="29"/>
    <x v="1"/>
    <n v="7"/>
    <d v="2017-04-04T00:00:00"/>
    <m/>
    <x v="0"/>
  </r>
  <r>
    <n v="1228"/>
    <n v="52"/>
    <s v="Female"/>
    <x v="2"/>
    <s v="Specialist"/>
    <s v="John Carter"/>
    <n v="99349"/>
    <n v="22"/>
    <n v="45"/>
    <x v="2"/>
    <n v="2"/>
    <d v="2016-02-18T00:00:00"/>
    <m/>
    <x v="0"/>
  </r>
  <r>
    <n v="1229"/>
    <n v="22"/>
    <s v="Male"/>
    <x v="0"/>
    <s v="Specialist"/>
    <s v="Sarah Lee"/>
    <n v="77809"/>
    <n v="26"/>
    <n v="6"/>
    <x v="4"/>
    <n v="7"/>
    <d v="2017-10-26T00:00:00"/>
    <d v="2018-04-21T00:00:00"/>
    <x v="1"/>
  </r>
  <r>
    <n v="1230"/>
    <n v="38"/>
    <s v="Male"/>
    <x v="3"/>
    <s v="Manager"/>
    <s v="Emily Brown"/>
    <n v="58091"/>
    <n v="28"/>
    <n v="46"/>
    <x v="5"/>
    <n v="1"/>
    <d v="2022-06-16T00:00:00"/>
    <m/>
    <x v="0"/>
  </r>
  <r>
    <n v="1231"/>
    <n v="24"/>
    <s v="Male"/>
    <x v="2"/>
    <s v="Analyst"/>
    <s v="John Carter"/>
    <n v="95307"/>
    <n v="14"/>
    <n v="8"/>
    <x v="5"/>
    <n v="7"/>
    <d v="2024-01-22T00:00:00"/>
    <d v="2023-11-26T00:00:00"/>
    <x v="1"/>
  </r>
  <r>
    <n v="1232"/>
    <n v="21"/>
    <s v="Male"/>
    <x v="5"/>
    <s v="Specialist"/>
    <s v="Omar Khalid"/>
    <n v="108143"/>
    <n v="1"/>
    <n v="28"/>
    <x v="4"/>
    <n v="2"/>
    <d v="2022-11-28T00:00:00"/>
    <d v="2020-01-01T00:00:00"/>
    <x v="1"/>
  </r>
  <r>
    <n v="1233"/>
    <n v="25"/>
    <s v="Female"/>
    <x v="3"/>
    <s v="Specialist"/>
    <s v="Fatima Noor"/>
    <n v="49604"/>
    <n v="25"/>
    <n v="38"/>
    <x v="0"/>
    <n v="10"/>
    <d v="2017-11-07T00:00:00"/>
    <d v="2023-05-23T00:00:00"/>
    <x v="1"/>
  </r>
  <r>
    <n v="1234"/>
    <n v="46"/>
    <s v="Male"/>
    <x v="0"/>
    <s v="Specialist"/>
    <s v="David Miller"/>
    <n v="100682"/>
    <n v="6"/>
    <n v="26"/>
    <x v="1"/>
    <n v="4"/>
    <d v="2024-09-14T00:00:00"/>
    <m/>
    <x v="0"/>
  </r>
  <r>
    <n v="1235"/>
    <n v="51"/>
    <s v="Male"/>
    <x v="5"/>
    <s v="Manager"/>
    <s v="Emily Brown"/>
    <n v="51665"/>
    <n v="23"/>
    <n v="50"/>
    <x v="1"/>
    <n v="2"/>
    <d v="2023-07-22T00:00:00"/>
    <m/>
    <x v="0"/>
  </r>
  <r>
    <n v="1236"/>
    <n v="39"/>
    <s v="Female"/>
    <x v="4"/>
    <s v="Specialist"/>
    <s v="Sarah Lee"/>
    <n v="93831"/>
    <n v="3"/>
    <n v="38"/>
    <x v="0"/>
    <n v="4"/>
    <d v="2019-10-17T00:00:00"/>
    <m/>
    <x v="0"/>
  </r>
  <r>
    <n v="1237"/>
    <n v="44"/>
    <s v="Female"/>
    <x v="0"/>
    <s v="Analyst"/>
    <s v="Ahmad Hassan"/>
    <n v="53149"/>
    <n v="29"/>
    <n v="32"/>
    <x v="3"/>
    <n v="10"/>
    <d v="2024-01-22T00:00:00"/>
    <d v="2016-06-22T00:00:00"/>
    <x v="1"/>
  </r>
  <r>
    <n v="1238"/>
    <n v="38"/>
    <s v="Male"/>
    <x v="1"/>
    <s v="Manager"/>
    <s v="John Carter"/>
    <n v="103662"/>
    <n v="29"/>
    <n v="53"/>
    <x v="0"/>
    <n v="9"/>
    <d v="2016-12-07T00:00:00"/>
    <d v="2019-10-20T00:00:00"/>
    <x v="1"/>
  </r>
  <r>
    <n v="1239"/>
    <n v="56"/>
    <s v="Female"/>
    <x v="2"/>
    <s v="Associate"/>
    <s v="Omar Khalid"/>
    <n v="87029"/>
    <n v="22"/>
    <n v="46"/>
    <x v="0"/>
    <n v="8"/>
    <d v="2022-10-03T00:00:00"/>
    <m/>
    <x v="0"/>
  </r>
  <r>
    <n v="1240"/>
    <n v="50"/>
    <s v="Male"/>
    <x v="5"/>
    <s v="Senior Analyst"/>
    <s v="John Carter"/>
    <n v="82812"/>
    <n v="7"/>
    <n v="59"/>
    <x v="0"/>
    <n v="8"/>
    <d v="2019-05-15T00:00:00"/>
    <m/>
    <x v="0"/>
  </r>
  <r>
    <n v="1241"/>
    <n v="27"/>
    <s v="Female"/>
    <x v="0"/>
    <s v="Senior Analyst"/>
    <s v="Fatima Noor"/>
    <n v="65052"/>
    <n v="10"/>
    <n v="48"/>
    <x v="2"/>
    <n v="7"/>
    <d v="2016-11-19T00:00:00"/>
    <d v="2018-09-20T00:00:00"/>
    <x v="1"/>
  </r>
  <r>
    <n v="1242"/>
    <n v="40"/>
    <s v="Female"/>
    <x v="4"/>
    <s v="Specialist"/>
    <s v="Sarah Lee"/>
    <n v="70194"/>
    <n v="2"/>
    <n v="58"/>
    <x v="1"/>
    <n v="2"/>
    <d v="2021-10-20T00:00:00"/>
    <m/>
    <x v="0"/>
  </r>
  <r>
    <n v="1243"/>
    <n v="55"/>
    <s v="Male"/>
    <x v="0"/>
    <s v="Analyst"/>
    <s v="Omar Khalid"/>
    <n v="55082"/>
    <n v="23"/>
    <n v="51"/>
    <x v="4"/>
    <n v="4"/>
    <d v="2021-06-12T00:00:00"/>
    <d v="2019-06-11T00:00:00"/>
    <x v="1"/>
  </r>
  <r>
    <n v="1244"/>
    <n v="24"/>
    <s v="Female"/>
    <x v="3"/>
    <s v="Senior Analyst"/>
    <s v="Omar Khalid"/>
    <n v="86528"/>
    <n v="2"/>
    <n v="2"/>
    <x v="3"/>
    <n v="9"/>
    <d v="2019-03-19T00:00:00"/>
    <d v="2016-12-10T00:00:00"/>
    <x v="1"/>
  </r>
  <r>
    <n v="1245"/>
    <n v="28"/>
    <s v="Male"/>
    <x v="0"/>
    <s v="Analyst"/>
    <s v="Emily Brown"/>
    <n v="69768"/>
    <n v="10"/>
    <n v="56"/>
    <x v="1"/>
    <n v="3"/>
    <d v="2023-12-10T00:00:00"/>
    <m/>
    <x v="0"/>
  </r>
  <r>
    <n v="1246"/>
    <n v="28"/>
    <s v="Male"/>
    <x v="0"/>
    <s v="Analyst"/>
    <s v="Fatima Noor"/>
    <n v="74116"/>
    <n v="24"/>
    <n v="4"/>
    <x v="1"/>
    <n v="7"/>
    <d v="2015-02-26T00:00:00"/>
    <m/>
    <x v="0"/>
  </r>
  <r>
    <n v="1247"/>
    <n v="36"/>
    <s v="Male"/>
    <x v="0"/>
    <s v="Analyst"/>
    <s v="Emily Brown"/>
    <n v="70725"/>
    <n v="14"/>
    <n v="55"/>
    <x v="1"/>
    <n v="8"/>
    <d v="2018-04-05T00:00:00"/>
    <m/>
    <x v="0"/>
  </r>
  <r>
    <n v="1248"/>
    <n v="36"/>
    <s v="Female"/>
    <x v="0"/>
    <s v="Associate"/>
    <s v="Omar Khalid"/>
    <n v="93067"/>
    <n v="20"/>
    <n v="40"/>
    <x v="0"/>
    <n v="2"/>
    <d v="2015-07-22T00:00:00"/>
    <d v="2018-11-03T00:00:00"/>
    <x v="1"/>
  </r>
  <r>
    <n v="1249"/>
    <n v="44"/>
    <s v="Female"/>
    <x v="0"/>
    <s v="Associate"/>
    <s v="John Carter"/>
    <n v="75242"/>
    <n v="10"/>
    <n v="54"/>
    <x v="5"/>
    <n v="7"/>
    <d v="2022-12-26T00:00:00"/>
    <d v="2017-08-10T00:00:00"/>
    <x v="1"/>
  </r>
  <r>
    <n v="1250"/>
    <n v="52"/>
    <s v="Male"/>
    <x v="0"/>
    <s v="Specialist"/>
    <s v="David Miller"/>
    <n v="92041"/>
    <n v="18"/>
    <n v="52"/>
    <x v="1"/>
    <n v="4"/>
    <d v="2018-03-19T00:00:00"/>
    <m/>
    <x v="0"/>
  </r>
  <r>
    <n v="1251"/>
    <n v="39"/>
    <s v="Female"/>
    <x v="5"/>
    <s v="Associate"/>
    <s v="Omar Khalid"/>
    <n v="108901"/>
    <n v="11"/>
    <n v="23"/>
    <x v="4"/>
    <n v="1"/>
    <d v="2020-08-23T00:00:00"/>
    <m/>
    <x v="0"/>
  </r>
  <r>
    <n v="1252"/>
    <n v="34"/>
    <s v="Male"/>
    <x v="4"/>
    <s v="Associate"/>
    <s v="Fatima Noor"/>
    <n v="104192"/>
    <n v="13"/>
    <n v="36"/>
    <x v="5"/>
    <n v="7"/>
    <d v="2023-06-14T00:00:00"/>
    <d v="2016-06-03T00:00:00"/>
    <x v="1"/>
  </r>
  <r>
    <n v="1253"/>
    <n v="51"/>
    <s v="Female"/>
    <x v="4"/>
    <s v="Senior Analyst"/>
    <s v="Sarah Lee"/>
    <n v="49886"/>
    <n v="30"/>
    <n v="8"/>
    <x v="4"/>
    <n v="8"/>
    <d v="2022-11-09T00:00:00"/>
    <m/>
    <x v="0"/>
  </r>
  <r>
    <n v="1254"/>
    <n v="21"/>
    <s v="Female"/>
    <x v="2"/>
    <s v="Manager"/>
    <s v="Emily Brown"/>
    <n v="74694"/>
    <n v="23"/>
    <n v="46"/>
    <x v="4"/>
    <n v="7"/>
    <d v="2015-09-11T00:00:00"/>
    <d v="2023-11-12T00:00:00"/>
    <x v="1"/>
  </r>
  <r>
    <n v="1255"/>
    <n v="32"/>
    <s v="Female"/>
    <x v="3"/>
    <s v="Manager"/>
    <s v="Emily Brown"/>
    <n v="47194"/>
    <n v="10"/>
    <n v="44"/>
    <x v="1"/>
    <n v="4"/>
    <d v="2018-03-01T00:00:00"/>
    <m/>
    <x v="0"/>
  </r>
  <r>
    <n v="1256"/>
    <n v="56"/>
    <s v="Female"/>
    <x v="5"/>
    <s v="Manager"/>
    <s v="Fatima Noor"/>
    <n v="87554"/>
    <n v="23"/>
    <n v="8"/>
    <x v="0"/>
    <n v="8"/>
    <d v="2024-12-25T00:00:00"/>
    <d v="2023-07-28T00:00:00"/>
    <x v="1"/>
  </r>
  <r>
    <n v="1257"/>
    <n v="46"/>
    <s v="Female"/>
    <x v="4"/>
    <s v="Specialist"/>
    <s v="John Carter"/>
    <n v="80630"/>
    <n v="20"/>
    <n v="27"/>
    <x v="2"/>
    <n v="2"/>
    <d v="2020-06-08T00:00:00"/>
    <d v="2018-04-21T00:00:00"/>
    <x v="1"/>
  </r>
  <r>
    <n v="1258"/>
    <n v="41"/>
    <s v="Female"/>
    <x v="2"/>
    <s v="Associate"/>
    <s v="Fatima Noor"/>
    <n v="73479"/>
    <n v="18"/>
    <n v="40"/>
    <x v="0"/>
    <n v="3"/>
    <d v="2022-07-03T00:00:00"/>
    <m/>
    <x v="0"/>
  </r>
  <r>
    <n v="1259"/>
    <n v="27"/>
    <s v="Male"/>
    <x v="0"/>
    <s v="Manager"/>
    <s v="Fatima Noor"/>
    <n v="61712"/>
    <n v="26"/>
    <n v="11"/>
    <x v="2"/>
    <n v="10"/>
    <d v="2017-02-21T00:00:00"/>
    <m/>
    <x v="0"/>
  </r>
  <r>
    <n v="1260"/>
    <n v="59"/>
    <s v="Female"/>
    <x v="5"/>
    <s v="Analyst"/>
    <s v="Emily Brown"/>
    <n v="51580"/>
    <n v="17"/>
    <n v="31"/>
    <x v="0"/>
    <n v="10"/>
    <d v="2021-12-12T00:00:00"/>
    <d v="2023-03-09T00:00:00"/>
    <x v="1"/>
  </r>
  <r>
    <n v="1261"/>
    <n v="34"/>
    <s v="Male"/>
    <x v="0"/>
    <s v="Specialist"/>
    <s v="Sarah Lee"/>
    <n v="62588"/>
    <n v="19"/>
    <n v="2"/>
    <x v="5"/>
    <n v="7"/>
    <d v="2018-03-15T00:00:00"/>
    <m/>
    <x v="0"/>
  </r>
  <r>
    <n v="1262"/>
    <n v="21"/>
    <s v="Female"/>
    <x v="5"/>
    <s v="Senior Analyst"/>
    <s v="John Carter"/>
    <n v="45703"/>
    <n v="26"/>
    <n v="4"/>
    <x v="2"/>
    <n v="7"/>
    <d v="2021-11-01T00:00:00"/>
    <m/>
    <x v="0"/>
  </r>
  <r>
    <n v="1263"/>
    <n v="54"/>
    <s v="Female"/>
    <x v="0"/>
    <s v="Manager"/>
    <s v="Sarah Lee"/>
    <n v="56534"/>
    <n v="23"/>
    <n v="53"/>
    <x v="3"/>
    <n v="6"/>
    <d v="2017-12-20T00:00:00"/>
    <m/>
    <x v="0"/>
  </r>
  <r>
    <n v="1264"/>
    <n v="57"/>
    <s v="Female"/>
    <x v="2"/>
    <s v="Manager"/>
    <s v="Fatima Noor"/>
    <n v="50828"/>
    <n v="20"/>
    <n v="48"/>
    <x v="3"/>
    <n v="1"/>
    <d v="2021-06-17T00:00:00"/>
    <d v="2018-11-12T00:00:00"/>
    <x v="1"/>
  </r>
  <r>
    <n v="1265"/>
    <n v="53"/>
    <s v="Male"/>
    <x v="4"/>
    <s v="Manager"/>
    <s v="Sarah Lee"/>
    <n v="104453"/>
    <n v="5"/>
    <n v="42"/>
    <x v="5"/>
    <n v="2"/>
    <d v="2017-11-15T00:00:00"/>
    <m/>
    <x v="0"/>
  </r>
  <r>
    <n v="1266"/>
    <n v="46"/>
    <s v="Female"/>
    <x v="4"/>
    <s v="Associate"/>
    <s v="Ahmad Hassan"/>
    <n v="78059"/>
    <n v="26"/>
    <n v="5"/>
    <x v="2"/>
    <n v="10"/>
    <d v="2023-08-18T00:00:00"/>
    <m/>
    <x v="0"/>
  </r>
  <r>
    <n v="1267"/>
    <n v="25"/>
    <s v="Female"/>
    <x v="0"/>
    <s v="Analyst"/>
    <s v="David Miller"/>
    <n v="102854"/>
    <n v="17"/>
    <n v="34"/>
    <x v="0"/>
    <n v="2"/>
    <d v="2024-03-09T00:00:00"/>
    <m/>
    <x v="0"/>
  </r>
  <r>
    <n v="1268"/>
    <n v="49"/>
    <s v="Male"/>
    <x v="2"/>
    <s v="Senior Analyst"/>
    <s v="Fatima Noor"/>
    <n v="95089"/>
    <n v="19"/>
    <n v="26"/>
    <x v="5"/>
    <n v="8"/>
    <d v="2018-06-15T00:00:00"/>
    <m/>
    <x v="0"/>
  </r>
  <r>
    <n v="1269"/>
    <n v="43"/>
    <s v="Female"/>
    <x v="3"/>
    <s v="Analyst"/>
    <s v="David Miller"/>
    <n v="59316"/>
    <n v="24"/>
    <n v="50"/>
    <x v="3"/>
    <n v="1"/>
    <d v="2015-02-22T00:00:00"/>
    <m/>
    <x v="0"/>
  </r>
  <r>
    <n v="1270"/>
    <n v="52"/>
    <s v="Male"/>
    <x v="2"/>
    <s v="Manager"/>
    <s v="John Carter"/>
    <n v="106753"/>
    <n v="21"/>
    <n v="17"/>
    <x v="3"/>
    <n v="6"/>
    <d v="2015-10-04T00:00:00"/>
    <m/>
    <x v="0"/>
  </r>
  <r>
    <n v="1271"/>
    <n v="48"/>
    <s v="Female"/>
    <x v="5"/>
    <s v="Manager"/>
    <s v="Ahmad Hassan"/>
    <n v="60634"/>
    <n v="4"/>
    <n v="58"/>
    <x v="2"/>
    <n v="6"/>
    <d v="2015-07-27T00:00:00"/>
    <d v="2016-11-06T00:00:00"/>
    <x v="1"/>
  </r>
  <r>
    <n v="1272"/>
    <n v="22"/>
    <s v="Female"/>
    <x v="3"/>
    <s v="Specialist"/>
    <s v="Sarah Lee"/>
    <n v="100358"/>
    <n v="26"/>
    <n v="18"/>
    <x v="2"/>
    <n v="9"/>
    <d v="2024-05-06T00:00:00"/>
    <m/>
    <x v="0"/>
  </r>
  <r>
    <n v="1273"/>
    <n v="53"/>
    <s v="Male"/>
    <x v="2"/>
    <s v="Specialist"/>
    <s v="Emily Brown"/>
    <n v="103323"/>
    <n v="19"/>
    <n v="48"/>
    <x v="3"/>
    <n v="3"/>
    <d v="2019-11-19T00:00:00"/>
    <m/>
    <x v="0"/>
  </r>
  <r>
    <n v="1274"/>
    <n v="26"/>
    <s v="Female"/>
    <x v="1"/>
    <s v="Analyst"/>
    <s v="Fatima Noor"/>
    <n v="64597"/>
    <n v="17"/>
    <n v="60"/>
    <x v="2"/>
    <n v="8"/>
    <d v="2020-02-06T00:00:00"/>
    <m/>
    <x v="0"/>
  </r>
  <r>
    <n v="1275"/>
    <n v="39"/>
    <s v="Female"/>
    <x v="4"/>
    <s v="Manager"/>
    <s v="David Miller"/>
    <n v="47550"/>
    <n v="11"/>
    <n v="60"/>
    <x v="5"/>
    <n v="7"/>
    <d v="2015-08-18T00:00:00"/>
    <m/>
    <x v="0"/>
  </r>
  <r>
    <n v="1276"/>
    <n v="46"/>
    <s v="Female"/>
    <x v="4"/>
    <s v="Analyst"/>
    <s v="John Carter"/>
    <n v="100272"/>
    <n v="7"/>
    <n v="6"/>
    <x v="5"/>
    <n v="4"/>
    <d v="2017-10-18T00:00:00"/>
    <m/>
    <x v="0"/>
  </r>
  <r>
    <n v="1277"/>
    <n v="44"/>
    <s v="Male"/>
    <x v="0"/>
    <s v="Manager"/>
    <s v="Ahmad Hassan"/>
    <n v="86743"/>
    <n v="27"/>
    <n v="44"/>
    <x v="2"/>
    <n v="3"/>
    <d v="2016-09-22T00:00:00"/>
    <m/>
    <x v="0"/>
  </r>
  <r>
    <n v="1278"/>
    <n v="27"/>
    <s v="Male"/>
    <x v="3"/>
    <s v="Specialist"/>
    <s v="Ahmad Hassan"/>
    <n v="75940"/>
    <n v="17"/>
    <n v="8"/>
    <x v="3"/>
    <n v="9"/>
    <d v="2018-09-07T00:00:00"/>
    <d v="2024-04-23T00:00:00"/>
    <x v="1"/>
  </r>
  <r>
    <n v="1279"/>
    <n v="34"/>
    <s v="Male"/>
    <x v="5"/>
    <s v="Specialist"/>
    <s v="Omar Khalid"/>
    <n v="59166"/>
    <n v="28"/>
    <n v="23"/>
    <x v="2"/>
    <n v="8"/>
    <d v="2024-08-21T00:00:00"/>
    <d v="2017-09-18T00:00:00"/>
    <x v="1"/>
  </r>
  <r>
    <n v="1280"/>
    <n v="41"/>
    <s v="Male"/>
    <x v="2"/>
    <s v="Manager"/>
    <s v="Omar Khalid"/>
    <n v="89449"/>
    <n v="8"/>
    <n v="21"/>
    <x v="1"/>
    <n v="6"/>
    <d v="2018-06-06T00:00:00"/>
    <m/>
    <x v="0"/>
  </r>
  <r>
    <n v="1281"/>
    <n v="35"/>
    <s v="Male"/>
    <x v="5"/>
    <s v="Specialist"/>
    <s v="Ahmad Hassan"/>
    <n v="49495"/>
    <n v="28"/>
    <n v="32"/>
    <x v="0"/>
    <n v="1"/>
    <d v="2021-06-22T00:00:00"/>
    <m/>
    <x v="0"/>
  </r>
  <r>
    <n v="1282"/>
    <n v="40"/>
    <s v="Female"/>
    <x v="4"/>
    <s v="Specialist"/>
    <s v="Fatima Noor"/>
    <n v="103287"/>
    <n v="15"/>
    <n v="0"/>
    <x v="2"/>
    <n v="3"/>
    <d v="2015-07-20T00:00:00"/>
    <m/>
    <x v="0"/>
  </r>
  <r>
    <n v="1283"/>
    <n v="60"/>
    <s v="Female"/>
    <x v="2"/>
    <s v="Senior Analyst"/>
    <s v="Fatima Noor"/>
    <n v="85818"/>
    <n v="23"/>
    <n v="26"/>
    <x v="5"/>
    <n v="9"/>
    <d v="2021-05-15T00:00:00"/>
    <d v="2018-04-13T00:00:00"/>
    <x v="1"/>
  </r>
  <r>
    <n v="1284"/>
    <n v="57"/>
    <s v="Female"/>
    <x v="4"/>
    <s v="Senior Analyst"/>
    <s v="Fatima Noor"/>
    <n v="90509"/>
    <n v="16"/>
    <n v="34"/>
    <x v="3"/>
    <n v="4"/>
    <d v="2020-06-11T00:00:00"/>
    <m/>
    <x v="0"/>
  </r>
  <r>
    <n v="1285"/>
    <n v="41"/>
    <s v="Female"/>
    <x v="4"/>
    <s v="Specialist"/>
    <s v="David Miller"/>
    <n v="75195"/>
    <n v="25"/>
    <n v="55"/>
    <x v="2"/>
    <n v="5"/>
    <d v="2021-01-20T00:00:00"/>
    <m/>
    <x v="0"/>
  </r>
  <r>
    <n v="1286"/>
    <n v="60"/>
    <s v="Male"/>
    <x v="4"/>
    <s v="Associate"/>
    <s v="Emily Brown"/>
    <n v="46220"/>
    <n v="27"/>
    <n v="26"/>
    <x v="1"/>
    <n v="3"/>
    <d v="2024-11-10T00:00:00"/>
    <m/>
    <x v="0"/>
  </r>
  <r>
    <n v="1287"/>
    <n v="59"/>
    <s v="Female"/>
    <x v="3"/>
    <s v="Senior Analyst"/>
    <s v="Ahmad Hassan"/>
    <n v="93583"/>
    <n v="11"/>
    <n v="49"/>
    <x v="2"/>
    <n v="9"/>
    <d v="2024-04-04T00:00:00"/>
    <m/>
    <x v="0"/>
  </r>
  <r>
    <n v="1288"/>
    <n v="29"/>
    <s v="Female"/>
    <x v="1"/>
    <s v="Senior Analyst"/>
    <s v="Fatima Noor"/>
    <n v="93815"/>
    <n v="11"/>
    <n v="5"/>
    <x v="0"/>
    <n v="8"/>
    <d v="2020-06-21T00:00:00"/>
    <m/>
    <x v="0"/>
  </r>
  <r>
    <n v="1289"/>
    <n v="21"/>
    <s v="Female"/>
    <x v="0"/>
    <s v="Analyst"/>
    <s v="Emily Brown"/>
    <n v="54281"/>
    <n v="18"/>
    <n v="54"/>
    <x v="5"/>
    <n v="4"/>
    <d v="2019-02-24T00:00:00"/>
    <m/>
    <x v="0"/>
  </r>
  <r>
    <n v="1290"/>
    <n v="34"/>
    <s v="Female"/>
    <x v="4"/>
    <s v="Senior Analyst"/>
    <s v="Sarah Lee"/>
    <n v="84873"/>
    <n v="11"/>
    <n v="33"/>
    <x v="0"/>
    <n v="7"/>
    <d v="2022-07-15T00:00:00"/>
    <d v="2024-01-04T00:00:00"/>
    <x v="1"/>
  </r>
  <r>
    <n v="1291"/>
    <n v="26"/>
    <s v="Female"/>
    <x v="3"/>
    <s v="Specialist"/>
    <s v="Fatima Noor"/>
    <n v="67831"/>
    <n v="9"/>
    <n v="6"/>
    <x v="2"/>
    <n v="4"/>
    <d v="2018-11-01T00:00:00"/>
    <m/>
    <x v="0"/>
  </r>
  <r>
    <n v="1292"/>
    <n v="47"/>
    <s v="Male"/>
    <x v="5"/>
    <s v="Associate"/>
    <s v="Ahmad Hassan"/>
    <n v="82658"/>
    <n v="26"/>
    <n v="1"/>
    <x v="0"/>
    <n v="4"/>
    <d v="2023-10-08T00:00:00"/>
    <m/>
    <x v="0"/>
  </r>
  <r>
    <n v="1293"/>
    <n v="23"/>
    <s v="Female"/>
    <x v="2"/>
    <s v="Associate"/>
    <s v="Omar Khalid"/>
    <n v="68292"/>
    <n v="11"/>
    <n v="40"/>
    <x v="4"/>
    <n v="3"/>
    <d v="2016-02-02T00:00:00"/>
    <m/>
    <x v="0"/>
  </r>
  <r>
    <n v="1294"/>
    <n v="54"/>
    <s v="Male"/>
    <x v="5"/>
    <s v="Senior Analyst"/>
    <s v="Ahmad Hassan"/>
    <n v="47570"/>
    <n v="10"/>
    <n v="47"/>
    <x v="4"/>
    <n v="3"/>
    <d v="2023-01-01T00:00:00"/>
    <d v="2022-06-04T00:00:00"/>
    <x v="1"/>
  </r>
  <r>
    <n v="1295"/>
    <n v="22"/>
    <s v="Female"/>
    <x v="1"/>
    <s v="Associate"/>
    <s v="Ahmad Hassan"/>
    <n v="108704"/>
    <n v="15"/>
    <n v="18"/>
    <x v="4"/>
    <n v="4"/>
    <d v="2024-12-25T00:00:00"/>
    <d v="2024-07-24T00:00:00"/>
    <x v="1"/>
  </r>
  <r>
    <n v="1296"/>
    <n v="32"/>
    <s v="Female"/>
    <x v="1"/>
    <s v="Associate"/>
    <s v="John Carter"/>
    <n v="72446"/>
    <n v="4"/>
    <n v="15"/>
    <x v="3"/>
    <n v="8"/>
    <d v="2020-02-14T00:00:00"/>
    <d v="2022-10-22T00:00:00"/>
    <x v="1"/>
  </r>
  <r>
    <n v="1297"/>
    <n v="21"/>
    <s v="Male"/>
    <x v="3"/>
    <s v="Senior Analyst"/>
    <s v="David Miller"/>
    <n v="104043"/>
    <n v="7"/>
    <n v="6"/>
    <x v="5"/>
    <n v="6"/>
    <d v="2024-12-18T00:00:00"/>
    <m/>
    <x v="0"/>
  </r>
  <r>
    <n v="1298"/>
    <n v="58"/>
    <s v="Male"/>
    <x v="5"/>
    <s v="Manager"/>
    <s v="John Carter"/>
    <n v="46414"/>
    <n v="28"/>
    <n v="4"/>
    <x v="4"/>
    <n v="10"/>
    <d v="2018-03-14T00:00:00"/>
    <m/>
    <x v="0"/>
  </r>
  <r>
    <n v="1299"/>
    <n v="42"/>
    <s v="Female"/>
    <x v="2"/>
    <s v="Analyst"/>
    <s v="Ahmad Hassan"/>
    <n v="51296"/>
    <n v="22"/>
    <n v="0"/>
    <x v="4"/>
    <n v="5"/>
    <d v="2022-02-06T00:00:00"/>
    <d v="2021-12-07T00:00:00"/>
    <x v="1"/>
  </r>
  <r>
    <n v="1300"/>
    <n v="34"/>
    <s v="Male"/>
    <x v="3"/>
    <s v="Manager"/>
    <s v="Emily Brown"/>
    <n v="87283"/>
    <n v="8"/>
    <n v="6"/>
    <x v="5"/>
    <n v="7"/>
    <d v="2018-06-19T00:00:00"/>
    <m/>
    <x v="0"/>
  </r>
  <r>
    <n v="1301"/>
    <n v="24"/>
    <s v="Male"/>
    <x v="0"/>
    <s v="Specialist"/>
    <s v="David Miller"/>
    <n v="84931"/>
    <n v="24"/>
    <n v="49"/>
    <x v="1"/>
    <n v="7"/>
    <d v="2016-03-22T00:00:00"/>
    <m/>
    <x v="0"/>
  </r>
  <r>
    <n v="1302"/>
    <n v="39"/>
    <s v="Male"/>
    <x v="1"/>
    <s v="Associate"/>
    <s v="Sarah Lee"/>
    <n v="101756"/>
    <n v="17"/>
    <n v="38"/>
    <x v="0"/>
    <n v="4"/>
    <d v="2019-04-09T00:00:00"/>
    <m/>
    <x v="0"/>
  </r>
  <r>
    <n v="1303"/>
    <n v="49"/>
    <s v="Female"/>
    <x v="5"/>
    <s v="Senior Analyst"/>
    <s v="Fatima Noor"/>
    <n v="59765"/>
    <n v="6"/>
    <n v="51"/>
    <x v="4"/>
    <n v="10"/>
    <d v="2022-11-22T00:00:00"/>
    <m/>
    <x v="0"/>
  </r>
  <r>
    <n v="1304"/>
    <n v="48"/>
    <s v="Male"/>
    <x v="2"/>
    <s v="Specialist"/>
    <s v="Sarah Lee"/>
    <n v="71692"/>
    <n v="18"/>
    <n v="55"/>
    <x v="2"/>
    <n v="5"/>
    <d v="2023-12-15T00:00:00"/>
    <d v="2020-06-01T00:00:00"/>
    <x v="1"/>
  </r>
  <r>
    <n v="1305"/>
    <n v="36"/>
    <s v="Male"/>
    <x v="4"/>
    <s v="Associate"/>
    <s v="Fatima Noor"/>
    <n v="94524"/>
    <n v="9"/>
    <n v="2"/>
    <x v="1"/>
    <n v="5"/>
    <d v="2024-12-28T00:00:00"/>
    <d v="2016-05-16T00:00:00"/>
    <x v="1"/>
  </r>
  <r>
    <n v="1306"/>
    <n v="38"/>
    <s v="Male"/>
    <x v="5"/>
    <s v="Manager"/>
    <s v="David Miller"/>
    <n v="47887"/>
    <n v="10"/>
    <n v="17"/>
    <x v="3"/>
    <n v="4"/>
    <d v="2018-10-02T00:00:00"/>
    <m/>
    <x v="0"/>
  </r>
  <r>
    <n v="1307"/>
    <n v="51"/>
    <s v="Male"/>
    <x v="4"/>
    <s v="Senior Analyst"/>
    <s v="Omar Khalid"/>
    <n v="107484"/>
    <n v="29"/>
    <n v="11"/>
    <x v="4"/>
    <n v="5"/>
    <d v="2021-01-08T00:00:00"/>
    <m/>
    <x v="0"/>
  </r>
  <r>
    <n v="1308"/>
    <n v="30"/>
    <s v="Male"/>
    <x v="5"/>
    <s v="Senior Analyst"/>
    <s v="Sarah Lee"/>
    <n v="93642"/>
    <n v="22"/>
    <n v="32"/>
    <x v="5"/>
    <n v="7"/>
    <d v="2020-12-10T00:00:00"/>
    <m/>
    <x v="0"/>
  </r>
  <r>
    <n v="1309"/>
    <n v="45"/>
    <s v="Male"/>
    <x v="2"/>
    <s v="Specialist"/>
    <s v="Emily Brown"/>
    <n v="107346"/>
    <n v="12"/>
    <n v="53"/>
    <x v="1"/>
    <n v="1"/>
    <d v="2019-03-25T00:00:00"/>
    <d v="2017-01-04T00:00:00"/>
    <x v="1"/>
  </r>
  <r>
    <n v="1310"/>
    <n v="50"/>
    <s v="Female"/>
    <x v="4"/>
    <s v="Senior Analyst"/>
    <s v="Emily Brown"/>
    <n v="54506"/>
    <n v="22"/>
    <n v="57"/>
    <x v="5"/>
    <n v="8"/>
    <d v="2015-02-26T00:00:00"/>
    <d v="2024-05-04T00:00:00"/>
    <x v="1"/>
  </r>
  <r>
    <n v="1311"/>
    <n v="29"/>
    <s v="Male"/>
    <x v="2"/>
    <s v="Manager"/>
    <s v="Omar Khalid"/>
    <n v="60753"/>
    <n v="5"/>
    <n v="0"/>
    <x v="4"/>
    <n v="3"/>
    <d v="2017-01-14T00:00:00"/>
    <m/>
    <x v="0"/>
  </r>
  <r>
    <n v="1312"/>
    <n v="28"/>
    <s v="Male"/>
    <x v="1"/>
    <s v="Specialist"/>
    <s v="Fatima Noor"/>
    <n v="49691"/>
    <n v="26"/>
    <n v="11"/>
    <x v="0"/>
    <n v="6"/>
    <d v="2023-05-02T00:00:00"/>
    <m/>
    <x v="0"/>
  </r>
  <r>
    <n v="1313"/>
    <n v="29"/>
    <s v="Female"/>
    <x v="4"/>
    <s v="Specialist"/>
    <s v="Fatima Noor"/>
    <n v="80942"/>
    <n v="6"/>
    <n v="60"/>
    <x v="1"/>
    <n v="4"/>
    <d v="2020-02-15T00:00:00"/>
    <m/>
    <x v="0"/>
  </r>
  <r>
    <n v="1314"/>
    <n v="40"/>
    <s v="Male"/>
    <x v="2"/>
    <s v="Specialist"/>
    <s v="Omar Khalid"/>
    <n v="98599"/>
    <n v="15"/>
    <n v="1"/>
    <x v="5"/>
    <n v="4"/>
    <d v="2019-05-15T00:00:00"/>
    <m/>
    <x v="0"/>
  </r>
  <r>
    <n v="1315"/>
    <n v="43"/>
    <s v="Female"/>
    <x v="5"/>
    <s v="Specialist"/>
    <s v="David Miller"/>
    <n v="53064"/>
    <n v="30"/>
    <n v="37"/>
    <x v="5"/>
    <n v="8"/>
    <d v="2023-11-01T00:00:00"/>
    <d v="2017-06-10T00:00:00"/>
    <x v="1"/>
  </r>
  <r>
    <n v="1316"/>
    <n v="55"/>
    <s v="Female"/>
    <x v="5"/>
    <s v="Manager"/>
    <s v="Ahmad Hassan"/>
    <n v="84188"/>
    <n v="29"/>
    <n v="9"/>
    <x v="1"/>
    <n v="9"/>
    <d v="2024-06-02T00:00:00"/>
    <m/>
    <x v="0"/>
  </r>
  <r>
    <n v="1317"/>
    <n v="51"/>
    <s v="Female"/>
    <x v="1"/>
    <s v="Specialist"/>
    <s v="Ahmad Hassan"/>
    <n v="93293"/>
    <n v="30"/>
    <n v="29"/>
    <x v="2"/>
    <n v="5"/>
    <d v="2023-02-13T00:00:00"/>
    <m/>
    <x v="0"/>
  </r>
  <r>
    <n v="1318"/>
    <n v="43"/>
    <s v="Male"/>
    <x v="2"/>
    <s v="Specialist"/>
    <s v="Ahmad Hassan"/>
    <n v="85761"/>
    <n v="15"/>
    <n v="26"/>
    <x v="1"/>
    <n v="7"/>
    <d v="2019-04-16T00:00:00"/>
    <d v="2019-09-09T00:00:00"/>
    <x v="1"/>
  </r>
  <r>
    <n v="1319"/>
    <n v="23"/>
    <s v="Female"/>
    <x v="5"/>
    <s v="Manager"/>
    <s v="Ahmad Hassan"/>
    <n v="89849"/>
    <n v="26"/>
    <n v="51"/>
    <x v="3"/>
    <n v="4"/>
    <d v="2019-12-02T00:00:00"/>
    <m/>
    <x v="0"/>
  </r>
  <r>
    <n v="1320"/>
    <n v="53"/>
    <s v="Male"/>
    <x v="1"/>
    <s v="Senior Analyst"/>
    <s v="John Carter"/>
    <n v="72657"/>
    <n v="19"/>
    <n v="24"/>
    <x v="1"/>
    <n v="7"/>
    <d v="2017-02-03T00:00:00"/>
    <m/>
    <x v="0"/>
  </r>
  <r>
    <n v="1321"/>
    <n v="60"/>
    <s v="Male"/>
    <x v="2"/>
    <s v="Associate"/>
    <s v="Ahmad Hassan"/>
    <n v="80272"/>
    <n v="20"/>
    <n v="14"/>
    <x v="4"/>
    <n v="3"/>
    <d v="2020-10-27T00:00:00"/>
    <m/>
    <x v="0"/>
  </r>
  <r>
    <n v="1322"/>
    <n v="57"/>
    <s v="Male"/>
    <x v="4"/>
    <s v="Senior Analyst"/>
    <s v="Emily Brown"/>
    <n v="71758"/>
    <n v="12"/>
    <n v="31"/>
    <x v="4"/>
    <n v="8"/>
    <d v="2021-09-16T00:00:00"/>
    <m/>
    <x v="0"/>
  </r>
  <r>
    <n v="1323"/>
    <n v="29"/>
    <s v="Female"/>
    <x v="3"/>
    <s v="Associate"/>
    <s v="Ahmad Hassan"/>
    <n v="56073"/>
    <n v="30"/>
    <n v="48"/>
    <x v="5"/>
    <n v="6"/>
    <d v="2020-10-05T00:00:00"/>
    <m/>
    <x v="0"/>
  </r>
  <r>
    <n v="1324"/>
    <n v="40"/>
    <s v="Male"/>
    <x v="0"/>
    <s v="Specialist"/>
    <s v="John Carter"/>
    <n v="71481"/>
    <n v="5"/>
    <n v="13"/>
    <x v="4"/>
    <n v="10"/>
    <d v="2023-05-05T00:00:00"/>
    <m/>
    <x v="0"/>
  </r>
  <r>
    <n v="1325"/>
    <n v="57"/>
    <s v="Male"/>
    <x v="2"/>
    <s v="Associate"/>
    <s v="Ahmad Hassan"/>
    <n v="61792"/>
    <n v="24"/>
    <n v="52"/>
    <x v="4"/>
    <n v="2"/>
    <d v="2017-07-23T00:00:00"/>
    <m/>
    <x v="0"/>
  </r>
  <r>
    <n v="1326"/>
    <n v="49"/>
    <s v="Female"/>
    <x v="5"/>
    <s v="Manager"/>
    <s v="Omar Khalid"/>
    <n v="75485"/>
    <n v="6"/>
    <n v="12"/>
    <x v="4"/>
    <n v="1"/>
    <d v="2024-03-01T00:00:00"/>
    <m/>
    <x v="0"/>
  </r>
  <r>
    <n v="1327"/>
    <n v="33"/>
    <s v="Male"/>
    <x v="5"/>
    <s v="Manager"/>
    <s v="Fatima Noor"/>
    <n v="90274"/>
    <n v="13"/>
    <n v="2"/>
    <x v="2"/>
    <n v="8"/>
    <d v="2016-02-05T00:00:00"/>
    <d v="2023-06-01T00:00:00"/>
    <x v="1"/>
  </r>
  <r>
    <n v="1328"/>
    <n v="59"/>
    <s v="Male"/>
    <x v="1"/>
    <s v="Senior Analyst"/>
    <s v="Fatima Noor"/>
    <n v="99136"/>
    <n v="2"/>
    <n v="8"/>
    <x v="4"/>
    <n v="9"/>
    <d v="2024-06-24T00:00:00"/>
    <m/>
    <x v="0"/>
  </r>
  <r>
    <n v="1329"/>
    <n v="51"/>
    <s v="Male"/>
    <x v="4"/>
    <s v="Specialist"/>
    <s v="Sarah Lee"/>
    <n v="79966"/>
    <n v="15"/>
    <n v="30"/>
    <x v="4"/>
    <n v="9"/>
    <d v="2020-07-04T00:00:00"/>
    <m/>
    <x v="0"/>
  </r>
  <r>
    <n v="1330"/>
    <n v="44"/>
    <s v="Female"/>
    <x v="0"/>
    <s v="Specialist"/>
    <s v="Fatima Noor"/>
    <n v="83672"/>
    <n v="23"/>
    <n v="14"/>
    <x v="0"/>
    <n v="6"/>
    <d v="2019-07-12T00:00:00"/>
    <m/>
    <x v="0"/>
  </r>
  <r>
    <n v="1331"/>
    <n v="40"/>
    <s v="Female"/>
    <x v="2"/>
    <s v="Senior Analyst"/>
    <s v="Emily Brown"/>
    <n v="94637"/>
    <n v="16"/>
    <n v="5"/>
    <x v="2"/>
    <n v="8"/>
    <d v="2021-11-24T00:00:00"/>
    <d v="2023-01-23T00:00:00"/>
    <x v="1"/>
  </r>
  <r>
    <n v="1332"/>
    <n v="41"/>
    <s v="Male"/>
    <x v="5"/>
    <s v="Specialist"/>
    <s v="Omar Khalid"/>
    <n v="95808"/>
    <n v="14"/>
    <n v="34"/>
    <x v="4"/>
    <n v="7"/>
    <d v="2023-10-13T00:00:00"/>
    <m/>
    <x v="0"/>
  </r>
  <r>
    <n v="1333"/>
    <n v="39"/>
    <s v="Male"/>
    <x v="2"/>
    <s v="Manager"/>
    <s v="John Carter"/>
    <n v="70406"/>
    <n v="16"/>
    <n v="58"/>
    <x v="0"/>
    <n v="9"/>
    <d v="2020-10-28T00:00:00"/>
    <m/>
    <x v="0"/>
  </r>
  <r>
    <n v="1334"/>
    <n v="23"/>
    <s v="Female"/>
    <x v="2"/>
    <s v="Specialist"/>
    <s v="Ahmad Hassan"/>
    <n v="81587"/>
    <n v="0"/>
    <n v="51"/>
    <x v="4"/>
    <n v="2"/>
    <d v="2020-07-23T00:00:00"/>
    <d v="2022-04-21T00:00:00"/>
    <x v="1"/>
  </r>
  <r>
    <n v="1335"/>
    <n v="29"/>
    <s v="Female"/>
    <x v="0"/>
    <s v="Manager"/>
    <s v="Omar Khalid"/>
    <n v="109035"/>
    <n v="16"/>
    <n v="19"/>
    <x v="3"/>
    <n v="3"/>
    <d v="2017-06-28T00:00:00"/>
    <m/>
    <x v="0"/>
  </r>
  <r>
    <n v="1336"/>
    <n v="52"/>
    <s v="Female"/>
    <x v="0"/>
    <s v="Senior Analyst"/>
    <s v="Sarah Lee"/>
    <n v="90624"/>
    <n v="0"/>
    <n v="28"/>
    <x v="0"/>
    <n v="4"/>
    <d v="2018-06-24T00:00:00"/>
    <d v="2022-03-20T00:00:00"/>
    <x v="1"/>
  </r>
  <r>
    <n v="1337"/>
    <n v="22"/>
    <s v="Male"/>
    <x v="2"/>
    <s v="Senior Analyst"/>
    <s v="Sarah Lee"/>
    <n v="82354"/>
    <n v="26"/>
    <n v="51"/>
    <x v="2"/>
    <n v="3"/>
    <d v="2022-03-19T00:00:00"/>
    <m/>
    <x v="0"/>
  </r>
  <r>
    <n v="1338"/>
    <n v="26"/>
    <s v="Female"/>
    <x v="4"/>
    <s v="Manager"/>
    <s v="David Miller"/>
    <n v="73121"/>
    <n v="8"/>
    <n v="10"/>
    <x v="4"/>
    <n v="4"/>
    <d v="2023-12-19T00:00:00"/>
    <m/>
    <x v="0"/>
  </r>
  <r>
    <n v="1339"/>
    <n v="40"/>
    <s v="Female"/>
    <x v="0"/>
    <s v="Senior Analyst"/>
    <s v="David Miller"/>
    <n v="105212"/>
    <n v="22"/>
    <n v="50"/>
    <x v="4"/>
    <n v="4"/>
    <d v="2020-06-27T00:00:00"/>
    <m/>
    <x v="0"/>
  </r>
  <r>
    <n v="1340"/>
    <n v="40"/>
    <s v="Female"/>
    <x v="2"/>
    <s v="Analyst"/>
    <s v="Sarah Lee"/>
    <n v="91066"/>
    <n v="19"/>
    <n v="11"/>
    <x v="1"/>
    <n v="7"/>
    <d v="2016-11-04T00:00:00"/>
    <m/>
    <x v="0"/>
  </r>
  <r>
    <n v="1341"/>
    <n v="26"/>
    <s v="Female"/>
    <x v="5"/>
    <s v="Analyst"/>
    <s v="David Miller"/>
    <n v="55008"/>
    <n v="30"/>
    <n v="33"/>
    <x v="3"/>
    <n v="9"/>
    <d v="2016-09-04T00:00:00"/>
    <m/>
    <x v="0"/>
  </r>
  <r>
    <n v="1342"/>
    <n v="44"/>
    <s v="Male"/>
    <x v="2"/>
    <s v="Associate"/>
    <s v="Emily Brown"/>
    <n v="92861"/>
    <n v="18"/>
    <n v="20"/>
    <x v="0"/>
    <n v="5"/>
    <d v="2022-05-04T00:00:00"/>
    <m/>
    <x v="0"/>
  </r>
  <r>
    <n v="1343"/>
    <n v="39"/>
    <s v="Female"/>
    <x v="1"/>
    <s v="Manager"/>
    <s v="David Miller"/>
    <n v="45047"/>
    <n v="11"/>
    <n v="60"/>
    <x v="3"/>
    <n v="10"/>
    <d v="2021-04-19T00:00:00"/>
    <d v="2018-04-21T00:00:00"/>
    <x v="1"/>
  </r>
  <r>
    <n v="1344"/>
    <n v="37"/>
    <s v="Female"/>
    <x v="4"/>
    <s v="Manager"/>
    <s v="David Miller"/>
    <n v="64286"/>
    <n v="29"/>
    <n v="60"/>
    <x v="0"/>
    <n v="10"/>
    <d v="2021-10-07T00:00:00"/>
    <d v="2018-05-11T00:00:00"/>
    <x v="1"/>
  </r>
  <r>
    <n v="1345"/>
    <n v="44"/>
    <s v="Female"/>
    <x v="0"/>
    <s v="Senior Analyst"/>
    <s v="Emily Brown"/>
    <n v="89826"/>
    <n v="6"/>
    <n v="52"/>
    <x v="4"/>
    <n v="10"/>
    <d v="2015-03-19T00:00:00"/>
    <m/>
    <x v="0"/>
  </r>
  <r>
    <n v="1346"/>
    <n v="45"/>
    <s v="Female"/>
    <x v="0"/>
    <s v="Senior Analyst"/>
    <s v="Ahmad Hassan"/>
    <n v="83375"/>
    <n v="21"/>
    <n v="2"/>
    <x v="2"/>
    <n v="8"/>
    <d v="2017-05-13T00:00:00"/>
    <m/>
    <x v="0"/>
  </r>
  <r>
    <n v="1347"/>
    <n v="32"/>
    <s v="Male"/>
    <x v="2"/>
    <s v="Specialist"/>
    <s v="Sarah Lee"/>
    <n v="70523"/>
    <n v="11"/>
    <n v="39"/>
    <x v="3"/>
    <n v="8"/>
    <d v="2020-09-12T00:00:00"/>
    <m/>
    <x v="0"/>
  </r>
  <r>
    <n v="1348"/>
    <n v="41"/>
    <s v="Female"/>
    <x v="2"/>
    <s v="Manager"/>
    <s v="Ahmad Hassan"/>
    <n v="80402"/>
    <n v="2"/>
    <n v="9"/>
    <x v="1"/>
    <n v="6"/>
    <d v="2024-09-16T00:00:00"/>
    <d v="2019-08-28T00:00:00"/>
    <x v="1"/>
  </r>
  <r>
    <n v="1349"/>
    <n v="38"/>
    <s v="Male"/>
    <x v="2"/>
    <s v="Manager"/>
    <s v="John Carter"/>
    <n v="81920"/>
    <n v="3"/>
    <n v="37"/>
    <x v="1"/>
    <n v="4"/>
    <d v="2019-03-18T00:00:00"/>
    <d v="2017-05-22T00:00:00"/>
    <x v="1"/>
  </r>
  <r>
    <n v="1350"/>
    <n v="31"/>
    <s v="Male"/>
    <x v="2"/>
    <s v="Analyst"/>
    <s v="Omar Khalid"/>
    <n v="48712"/>
    <n v="3"/>
    <n v="50"/>
    <x v="0"/>
    <n v="9"/>
    <d v="2021-11-25T00:00:00"/>
    <d v="2016-07-18T00:00:00"/>
    <x v="1"/>
  </r>
  <r>
    <n v="1351"/>
    <n v="23"/>
    <s v="Male"/>
    <x v="2"/>
    <s v="Specialist"/>
    <s v="John Carter"/>
    <n v="51210"/>
    <n v="16"/>
    <n v="42"/>
    <x v="0"/>
    <n v="4"/>
    <d v="2020-06-15T00:00:00"/>
    <m/>
    <x v="0"/>
  </r>
  <r>
    <n v="1352"/>
    <n v="34"/>
    <s v="Male"/>
    <x v="0"/>
    <s v="Manager"/>
    <s v="Ahmad Hassan"/>
    <n v="75665"/>
    <n v="13"/>
    <n v="32"/>
    <x v="4"/>
    <n v="3"/>
    <d v="2017-08-02T00:00:00"/>
    <m/>
    <x v="0"/>
  </r>
  <r>
    <n v="1353"/>
    <n v="32"/>
    <s v="Male"/>
    <x v="4"/>
    <s v="Manager"/>
    <s v="Omar Khalid"/>
    <n v="96210"/>
    <n v="7"/>
    <n v="60"/>
    <x v="3"/>
    <n v="5"/>
    <d v="2023-02-04T00:00:00"/>
    <m/>
    <x v="0"/>
  </r>
  <r>
    <n v="1354"/>
    <n v="54"/>
    <s v="Female"/>
    <x v="0"/>
    <s v="Manager"/>
    <s v="Omar Khalid"/>
    <n v="56179"/>
    <n v="0"/>
    <n v="22"/>
    <x v="5"/>
    <n v="7"/>
    <d v="2021-12-08T00:00:00"/>
    <d v="2023-12-27T00:00:00"/>
    <x v="1"/>
  </r>
  <r>
    <n v="1355"/>
    <n v="57"/>
    <s v="Female"/>
    <x v="2"/>
    <s v="Manager"/>
    <s v="Fatima Noor"/>
    <n v="84192"/>
    <n v="25"/>
    <n v="56"/>
    <x v="3"/>
    <n v="7"/>
    <d v="2023-08-21T00:00:00"/>
    <m/>
    <x v="0"/>
  </r>
  <r>
    <n v="1356"/>
    <n v="26"/>
    <s v="Male"/>
    <x v="2"/>
    <s v="Manager"/>
    <s v="John Carter"/>
    <n v="51649"/>
    <n v="15"/>
    <n v="43"/>
    <x v="2"/>
    <n v="6"/>
    <d v="2016-11-05T00:00:00"/>
    <m/>
    <x v="0"/>
  </r>
  <r>
    <n v="1357"/>
    <n v="21"/>
    <s v="Female"/>
    <x v="3"/>
    <s v="Specialist"/>
    <s v="Ahmad Hassan"/>
    <n v="99820"/>
    <n v="19"/>
    <n v="19"/>
    <x v="5"/>
    <n v="10"/>
    <d v="2022-03-14T00:00:00"/>
    <m/>
    <x v="0"/>
  </r>
  <r>
    <n v="1358"/>
    <n v="31"/>
    <s v="Female"/>
    <x v="1"/>
    <s v="Specialist"/>
    <s v="David Miller"/>
    <n v="84452"/>
    <n v="23"/>
    <n v="45"/>
    <x v="3"/>
    <n v="6"/>
    <d v="2024-08-02T00:00:00"/>
    <d v="2018-04-09T00:00:00"/>
    <x v="1"/>
  </r>
  <r>
    <n v="1359"/>
    <n v="48"/>
    <s v="Male"/>
    <x v="4"/>
    <s v="Specialist"/>
    <s v="Sarah Lee"/>
    <n v="46742"/>
    <n v="10"/>
    <n v="2"/>
    <x v="4"/>
    <n v="7"/>
    <d v="2016-07-06T00:00:00"/>
    <d v="2024-09-02T00:00:00"/>
    <x v="1"/>
  </r>
  <r>
    <n v="1360"/>
    <n v="26"/>
    <s v="Female"/>
    <x v="4"/>
    <s v="Associate"/>
    <s v="David Miller"/>
    <n v="59828"/>
    <n v="10"/>
    <n v="4"/>
    <x v="4"/>
    <n v="9"/>
    <d v="2015-03-08T00:00:00"/>
    <d v="2017-06-08T00:00:00"/>
    <x v="1"/>
  </r>
  <r>
    <n v="1361"/>
    <n v="39"/>
    <s v="Female"/>
    <x v="5"/>
    <s v="Senior Analyst"/>
    <s v="Omar Khalid"/>
    <n v="64580"/>
    <n v="26"/>
    <n v="50"/>
    <x v="4"/>
    <n v="3"/>
    <d v="2022-07-28T00:00:00"/>
    <m/>
    <x v="0"/>
  </r>
  <r>
    <n v="1362"/>
    <n v="44"/>
    <s v="Male"/>
    <x v="0"/>
    <s v="Manager"/>
    <s v="Sarah Lee"/>
    <n v="81261"/>
    <n v="28"/>
    <n v="57"/>
    <x v="4"/>
    <n v="9"/>
    <d v="2016-11-12T00:00:00"/>
    <m/>
    <x v="0"/>
  </r>
  <r>
    <n v="1363"/>
    <n v="59"/>
    <s v="Female"/>
    <x v="0"/>
    <s v="Manager"/>
    <s v="David Miller"/>
    <n v="82416"/>
    <n v="6"/>
    <n v="39"/>
    <x v="4"/>
    <n v="3"/>
    <d v="2023-03-09T00:00:00"/>
    <m/>
    <x v="0"/>
  </r>
  <r>
    <n v="1364"/>
    <n v="21"/>
    <s v="Female"/>
    <x v="2"/>
    <s v="Associate"/>
    <s v="Sarah Lee"/>
    <n v="64998"/>
    <n v="19"/>
    <n v="4"/>
    <x v="1"/>
    <n v="7"/>
    <d v="2016-03-27T00:00:00"/>
    <m/>
    <x v="0"/>
  </r>
  <r>
    <n v="1365"/>
    <n v="22"/>
    <s v="Female"/>
    <x v="5"/>
    <s v="Specialist"/>
    <s v="Sarah Lee"/>
    <n v="68745"/>
    <n v="12"/>
    <n v="12"/>
    <x v="5"/>
    <n v="1"/>
    <d v="2015-02-03T00:00:00"/>
    <m/>
    <x v="0"/>
  </r>
  <r>
    <n v="1366"/>
    <n v="38"/>
    <s v="Male"/>
    <x v="5"/>
    <s v="Manager"/>
    <s v="Ahmad Hassan"/>
    <n v="104048"/>
    <n v="4"/>
    <n v="57"/>
    <x v="5"/>
    <n v="4"/>
    <d v="2017-10-06T00:00:00"/>
    <m/>
    <x v="0"/>
  </r>
  <r>
    <n v="1367"/>
    <n v="36"/>
    <s v="Male"/>
    <x v="0"/>
    <s v="Specialist"/>
    <s v="Ahmad Hassan"/>
    <n v="83359"/>
    <n v="26"/>
    <n v="13"/>
    <x v="0"/>
    <n v="3"/>
    <d v="2015-01-25T00:00:00"/>
    <d v="2018-05-16T00:00:00"/>
    <x v="1"/>
  </r>
  <r>
    <n v="1368"/>
    <n v="22"/>
    <s v="Female"/>
    <x v="2"/>
    <s v="Manager"/>
    <s v="David Miller"/>
    <n v="50874"/>
    <n v="23"/>
    <n v="31"/>
    <x v="4"/>
    <n v="1"/>
    <d v="2020-07-17T00:00:00"/>
    <m/>
    <x v="0"/>
  </r>
  <r>
    <n v="1369"/>
    <n v="51"/>
    <s v="Female"/>
    <x v="4"/>
    <s v="Manager"/>
    <s v="Emily Brown"/>
    <n v="56701"/>
    <n v="9"/>
    <n v="58"/>
    <x v="4"/>
    <n v="3"/>
    <d v="2016-08-09T00:00:00"/>
    <d v="2020-04-23T00:00:00"/>
    <x v="1"/>
  </r>
  <r>
    <n v="1370"/>
    <n v="50"/>
    <s v="Male"/>
    <x v="0"/>
    <s v="Associate"/>
    <s v="Sarah Lee"/>
    <n v="50020"/>
    <n v="27"/>
    <n v="59"/>
    <x v="1"/>
    <n v="8"/>
    <d v="2015-10-07T00:00:00"/>
    <m/>
    <x v="0"/>
  </r>
  <r>
    <n v="1371"/>
    <n v="31"/>
    <s v="Male"/>
    <x v="0"/>
    <s v="Manager"/>
    <s v="Emily Brown"/>
    <n v="87071"/>
    <n v="7"/>
    <n v="10"/>
    <x v="1"/>
    <n v="8"/>
    <d v="2019-03-09T00:00:00"/>
    <m/>
    <x v="0"/>
  </r>
  <r>
    <n v="1372"/>
    <n v="51"/>
    <s v="Female"/>
    <x v="2"/>
    <s v="Specialist"/>
    <s v="Fatima Noor"/>
    <n v="104355"/>
    <n v="6"/>
    <n v="12"/>
    <x v="5"/>
    <n v="7"/>
    <d v="2016-04-05T00:00:00"/>
    <m/>
    <x v="0"/>
  </r>
  <r>
    <n v="1373"/>
    <n v="51"/>
    <s v="Male"/>
    <x v="4"/>
    <s v="Analyst"/>
    <s v="Emily Brown"/>
    <n v="72933"/>
    <n v="7"/>
    <n v="4"/>
    <x v="4"/>
    <n v="7"/>
    <d v="2024-05-09T00:00:00"/>
    <m/>
    <x v="0"/>
  </r>
  <r>
    <n v="1374"/>
    <n v="58"/>
    <s v="Female"/>
    <x v="2"/>
    <s v="Manager"/>
    <s v="Omar Khalid"/>
    <n v="104878"/>
    <n v="1"/>
    <n v="8"/>
    <x v="5"/>
    <n v="1"/>
    <d v="2016-06-15T00:00:00"/>
    <m/>
    <x v="0"/>
  </r>
  <r>
    <n v="1375"/>
    <n v="34"/>
    <s v="Male"/>
    <x v="2"/>
    <s v="Senior Analyst"/>
    <s v="Fatima Noor"/>
    <n v="58164"/>
    <n v="17"/>
    <n v="58"/>
    <x v="3"/>
    <n v="2"/>
    <d v="2016-03-11T00:00:00"/>
    <m/>
    <x v="0"/>
  </r>
  <r>
    <n v="1376"/>
    <n v="46"/>
    <s v="Female"/>
    <x v="0"/>
    <s v="Manager"/>
    <s v="Emily Brown"/>
    <n v="85013"/>
    <n v="22"/>
    <n v="34"/>
    <x v="1"/>
    <n v="6"/>
    <d v="2019-03-24T00:00:00"/>
    <m/>
    <x v="0"/>
  </r>
  <r>
    <n v="1377"/>
    <n v="43"/>
    <s v="Female"/>
    <x v="5"/>
    <s v="Specialist"/>
    <s v="John Carter"/>
    <n v="85719"/>
    <n v="13"/>
    <n v="41"/>
    <x v="0"/>
    <n v="3"/>
    <d v="2016-11-16T00:00:00"/>
    <m/>
    <x v="0"/>
  </r>
  <r>
    <n v="1378"/>
    <n v="60"/>
    <s v="Female"/>
    <x v="1"/>
    <s v="Analyst"/>
    <s v="Sarah Lee"/>
    <n v="49628"/>
    <n v="30"/>
    <n v="46"/>
    <x v="1"/>
    <n v="3"/>
    <d v="2020-05-14T00:00:00"/>
    <d v="2021-10-06T00:00:00"/>
    <x v="1"/>
  </r>
  <r>
    <n v="1379"/>
    <n v="46"/>
    <s v="Male"/>
    <x v="0"/>
    <s v="Specialist"/>
    <s v="Fatima Noor"/>
    <n v="107948"/>
    <n v="14"/>
    <n v="36"/>
    <x v="0"/>
    <n v="3"/>
    <d v="2024-06-12T00:00:00"/>
    <m/>
    <x v="0"/>
  </r>
  <r>
    <n v="1380"/>
    <n v="29"/>
    <s v="Male"/>
    <x v="5"/>
    <s v="Manager"/>
    <s v="John Carter"/>
    <n v="86514"/>
    <n v="8"/>
    <n v="57"/>
    <x v="0"/>
    <n v="10"/>
    <d v="2022-12-01T00:00:00"/>
    <d v="2021-09-20T00:00:00"/>
    <x v="1"/>
  </r>
  <r>
    <n v="1381"/>
    <n v="57"/>
    <s v="Female"/>
    <x v="1"/>
    <s v="Associate"/>
    <s v="Omar Khalid"/>
    <n v="81272"/>
    <n v="25"/>
    <n v="53"/>
    <x v="2"/>
    <n v="5"/>
    <d v="2019-11-11T00:00:00"/>
    <d v="2019-09-22T00:00:00"/>
    <x v="1"/>
  </r>
  <r>
    <n v="1382"/>
    <n v="43"/>
    <s v="Male"/>
    <x v="5"/>
    <s v="Analyst"/>
    <s v="Fatima Noor"/>
    <n v="80562"/>
    <n v="29"/>
    <n v="13"/>
    <x v="3"/>
    <n v="5"/>
    <d v="2015-12-07T00:00:00"/>
    <m/>
    <x v="0"/>
  </r>
  <r>
    <n v="1383"/>
    <n v="34"/>
    <s v="Female"/>
    <x v="5"/>
    <s v="Senior Analyst"/>
    <s v="Sarah Lee"/>
    <n v="88953"/>
    <n v="28"/>
    <n v="57"/>
    <x v="1"/>
    <n v="1"/>
    <d v="2020-08-04T00:00:00"/>
    <m/>
    <x v="0"/>
  </r>
  <r>
    <n v="1384"/>
    <n v="49"/>
    <s v="Female"/>
    <x v="0"/>
    <s v="Specialist"/>
    <s v="John Carter"/>
    <n v="51743"/>
    <n v="25"/>
    <n v="7"/>
    <x v="1"/>
    <n v="10"/>
    <d v="2021-02-22T00:00:00"/>
    <m/>
    <x v="0"/>
  </r>
  <r>
    <n v="1385"/>
    <n v="42"/>
    <s v="Female"/>
    <x v="1"/>
    <s v="Manager"/>
    <s v="Fatima Noor"/>
    <n v="108942"/>
    <n v="11"/>
    <n v="57"/>
    <x v="2"/>
    <n v="2"/>
    <d v="2017-04-04T00:00:00"/>
    <m/>
    <x v="0"/>
  </r>
  <r>
    <n v="1386"/>
    <n v="54"/>
    <s v="Female"/>
    <x v="1"/>
    <s v="Manager"/>
    <s v="David Miller"/>
    <n v="53788"/>
    <n v="25"/>
    <n v="2"/>
    <x v="5"/>
    <n v="2"/>
    <d v="2015-04-16T00:00:00"/>
    <m/>
    <x v="0"/>
  </r>
  <r>
    <n v="1387"/>
    <n v="21"/>
    <s v="Female"/>
    <x v="5"/>
    <s v="Senior Analyst"/>
    <s v="Omar Khalid"/>
    <n v="74760"/>
    <n v="7"/>
    <n v="35"/>
    <x v="1"/>
    <n v="10"/>
    <d v="2023-11-17T00:00:00"/>
    <d v="2021-04-07T00:00:00"/>
    <x v="1"/>
  </r>
  <r>
    <n v="1388"/>
    <n v="36"/>
    <s v="Male"/>
    <x v="1"/>
    <s v="Specialist"/>
    <s v="Sarah Lee"/>
    <n v="81546"/>
    <n v="11"/>
    <n v="13"/>
    <x v="4"/>
    <n v="4"/>
    <d v="2019-04-26T00:00:00"/>
    <m/>
    <x v="0"/>
  </r>
  <r>
    <n v="1389"/>
    <n v="39"/>
    <s v="Female"/>
    <x v="3"/>
    <s v="Specialist"/>
    <s v="Emily Brown"/>
    <n v="66016"/>
    <n v="13"/>
    <n v="22"/>
    <x v="5"/>
    <n v="4"/>
    <d v="2023-03-08T00:00:00"/>
    <d v="2018-10-28T00:00:00"/>
    <x v="1"/>
  </r>
  <r>
    <n v="1390"/>
    <n v="46"/>
    <s v="Male"/>
    <x v="2"/>
    <s v="Senior Analyst"/>
    <s v="David Miller"/>
    <n v="93420"/>
    <n v="3"/>
    <n v="44"/>
    <x v="2"/>
    <n v="4"/>
    <d v="2016-06-05T00:00:00"/>
    <d v="2019-05-23T00:00:00"/>
    <x v="1"/>
  </r>
  <r>
    <n v="1391"/>
    <n v="26"/>
    <s v="Male"/>
    <x v="1"/>
    <s v="Specialist"/>
    <s v="Emily Brown"/>
    <n v="87569"/>
    <n v="15"/>
    <n v="27"/>
    <x v="0"/>
    <n v="2"/>
    <d v="2015-10-03T00:00:00"/>
    <m/>
    <x v="0"/>
  </r>
  <r>
    <n v="1392"/>
    <n v="48"/>
    <s v="Male"/>
    <x v="1"/>
    <s v="Specialist"/>
    <s v="David Miller"/>
    <n v="69513"/>
    <n v="5"/>
    <n v="37"/>
    <x v="5"/>
    <n v="4"/>
    <d v="2016-09-09T00:00:00"/>
    <m/>
    <x v="0"/>
  </r>
  <r>
    <n v="1393"/>
    <n v="22"/>
    <s v="Female"/>
    <x v="2"/>
    <s v="Senior Analyst"/>
    <s v="John Carter"/>
    <n v="97377"/>
    <n v="30"/>
    <n v="18"/>
    <x v="0"/>
    <n v="10"/>
    <d v="2024-06-26T00:00:00"/>
    <d v="2023-01-12T00:00:00"/>
    <x v="1"/>
  </r>
  <r>
    <n v="1394"/>
    <n v="27"/>
    <s v="Female"/>
    <x v="5"/>
    <s v="Specialist"/>
    <s v="David Miller"/>
    <n v="72732"/>
    <n v="26"/>
    <n v="9"/>
    <x v="5"/>
    <n v="2"/>
    <d v="2018-06-11T00:00:00"/>
    <m/>
    <x v="0"/>
  </r>
  <r>
    <n v="1395"/>
    <n v="27"/>
    <s v="Female"/>
    <x v="3"/>
    <s v="Analyst"/>
    <s v="Fatima Noor"/>
    <n v="53548"/>
    <n v="21"/>
    <n v="59"/>
    <x v="4"/>
    <n v="2"/>
    <d v="2017-04-11T00:00:00"/>
    <d v="2020-03-12T00:00:00"/>
    <x v="1"/>
  </r>
  <r>
    <n v="1396"/>
    <n v="50"/>
    <s v="Female"/>
    <x v="0"/>
    <s v="Manager"/>
    <s v="Fatima Noor"/>
    <n v="77975"/>
    <n v="22"/>
    <n v="21"/>
    <x v="2"/>
    <n v="10"/>
    <d v="2016-02-13T00:00:00"/>
    <d v="2022-04-17T00:00:00"/>
    <x v="1"/>
  </r>
  <r>
    <n v="1397"/>
    <n v="40"/>
    <s v="Female"/>
    <x v="2"/>
    <s v="Analyst"/>
    <s v="Fatima Noor"/>
    <n v="101852"/>
    <n v="1"/>
    <n v="10"/>
    <x v="1"/>
    <n v="4"/>
    <d v="2021-12-13T00:00:00"/>
    <m/>
    <x v="0"/>
  </r>
  <r>
    <n v="1398"/>
    <n v="52"/>
    <s v="Female"/>
    <x v="0"/>
    <s v="Analyst"/>
    <s v="Fatima Noor"/>
    <n v="53850"/>
    <n v="24"/>
    <n v="5"/>
    <x v="1"/>
    <n v="9"/>
    <d v="2015-12-06T00:00:00"/>
    <d v="2018-01-26T00:00:00"/>
    <x v="1"/>
  </r>
  <r>
    <n v="1399"/>
    <n v="49"/>
    <s v="Female"/>
    <x v="0"/>
    <s v="Senior Analyst"/>
    <s v="Fatima Noor"/>
    <n v="92140"/>
    <n v="16"/>
    <n v="15"/>
    <x v="0"/>
    <n v="5"/>
    <d v="2020-05-12T00:00:00"/>
    <d v="2021-08-05T00:00:00"/>
    <x v="1"/>
  </r>
  <r>
    <n v="1400"/>
    <n v="29"/>
    <s v="Female"/>
    <x v="0"/>
    <s v="Associate"/>
    <s v="David Miller"/>
    <n v="109025"/>
    <n v="8"/>
    <n v="21"/>
    <x v="2"/>
    <n v="4"/>
    <d v="2020-06-18T00:00:00"/>
    <m/>
    <x v="0"/>
  </r>
  <r>
    <n v="1401"/>
    <n v="44"/>
    <s v="Female"/>
    <x v="0"/>
    <s v="Specialist"/>
    <s v="Emily Brown"/>
    <n v="64124"/>
    <n v="4"/>
    <n v="40"/>
    <x v="1"/>
    <n v="4"/>
    <d v="2016-07-13T00:00:00"/>
    <d v="2016-08-15T00:00:00"/>
    <x v="1"/>
  </r>
  <r>
    <n v="1402"/>
    <n v="28"/>
    <s v="Male"/>
    <x v="0"/>
    <s v="Manager"/>
    <s v="David Miller"/>
    <n v="108818"/>
    <n v="12"/>
    <n v="3"/>
    <x v="0"/>
    <n v="4"/>
    <d v="2019-11-15T00:00:00"/>
    <m/>
    <x v="0"/>
  </r>
  <r>
    <n v="1403"/>
    <n v="32"/>
    <s v="Male"/>
    <x v="2"/>
    <s v="Specialist"/>
    <s v="David Miller"/>
    <n v="95514"/>
    <n v="11"/>
    <n v="51"/>
    <x v="4"/>
    <n v="8"/>
    <d v="2020-10-14T00:00:00"/>
    <m/>
    <x v="0"/>
  </r>
  <r>
    <n v="1404"/>
    <n v="58"/>
    <s v="Male"/>
    <x v="3"/>
    <s v="Manager"/>
    <s v="Emily Brown"/>
    <n v="55875"/>
    <n v="3"/>
    <n v="32"/>
    <x v="0"/>
    <n v="10"/>
    <d v="2017-10-13T00:00:00"/>
    <m/>
    <x v="0"/>
  </r>
  <r>
    <n v="1405"/>
    <n v="58"/>
    <s v="Female"/>
    <x v="5"/>
    <s v="Associate"/>
    <s v="Fatima Noor"/>
    <n v="83652"/>
    <n v="8"/>
    <n v="43"/>
    <x v="1"/>
    <n v="4"/>
    <d v="2022-09-03T00:00:00"/>
    <d v="2016-09-14T00:00:00"/>
    <x v="1"/>
  </r>
  <r>
    <n v="1406"/>
    <n v="45"/>
    <s v="Female"/>
    <x v="1"/>
    <s v="Senior Analyst"/>
    <s v="Ahmad Hassan"/>
    <n v="61898"/>
    <n v="3"/>
    <n v="11"/>
    <x v="1"/>
    <n v="7"/>
    <d v="2021-10-28T00:00:00"/>
    <m/>
    <x v="0"/>
  </r>
  <r>
    <n v="1407"/>
    <n v="56"/>
    <s v="Female"/>
    <x v="3"/>
    <s v="Senior Analyst"/>
    <s v="Ahmad Hassan"/>
    <n v="57963"/>
    <n v="7"/>
    <n v="2"/>
    <x v="2"/>
    <n v="4"/>
    <d v="2017-08-23T00:00:00"/>
    <m/>
    <x v="0"/>
  </r>
  <r>
    <n v="1408"/>
    <n v="55"/>
    <s v="Female"/>
    <x v="5"/>
    <s v="Senior Analyst"/>
    <s v="Ahmad Hassan"/>
    <n v="64490"/>
    <n v="8"/>
    <n v="51"/>
    <x v="1"/>
    <n v="6"/>
    <d v="2017-02-07T00:00:00"/>
    <m/>
    <x v="0"/>
  </r>
  <r>
    <n v="1409"/>
    <n v="42"/>
    <s v="Female"/>
    <x v="2"/>
    <s v="Analyst"/>
    <s v="David Miller"/>
    <n v="82651"/>
    <n v="1"/>
    <n v="2"/>
    <x v="2"/>
    <n v="5"/>
    <d v="2017-07-01T00:00:00"/>
    <m/>
    <x v="0"/>
  </r>
  <r>
    <n v="1410"/>
    <n v="53"/>
    <s v="Male"/>
    <x v="4"/>
    <s v="Analyst"/>
    <s v="Fatima Noor"/>
    <n v="93510"/>
    <n v="30"/>
    <n v="52"/>
    <x v="5"/>
    <n v="4"/>
    <d v="2015-02-26T00:00:00"/>
    <m/>
    <x v="0"/>
  </r>
  <r>
    <n v="1411"/>
    <n v="43"/>
    <s v="Male"/>
    <x v="0"/>
    <s v="Specialist"/>
    <s v="Fatima Noor"/>
    <n v="94729"/>
    <n v="23"/>
    <n v="59"/>
    <x v="2"/>
    <n v="5"/>
    <d v="2022-02-02T00:00:00"/>
    <m/>
    <x v="0"/>
  </r>
  <r>
    <n v="1412"/>
    <n v="21"/>
    <s v="Male"/>
    <x v="5"/>
    <s v="Analyst"/>
    <s v="Ahmad Hassan"/>
    <n v="84125"/>
    <n v="17"/>
    <n v="2"/>
    <x v="5"/>
    <n v="5"/>
    <d v="2024-03-15T00:00:00"/>
    <m/>
    <x v="0"/>
  </r>
  <r>
    <n v="1413"/>
    <n v="22"/>
    <s v="Female"/>
    <x v="0"/>
    <s v="Specialist"/>
    <s v="David Miller"/>
    <n v="56402"/>
    <n v="9"/>
    <n v="12"/>
    <x v="1"/>
    <n v="3"/>
    <d v="2019-11-14T00:00:00"/>
    <m/>
    <x v="0"/>
  </r>
  <r>
    <n v="1414"/>
    <n v="54"/>
    <s v="Male"/>
    <x v="3"/>
    <s v="Manager"/>
    <s v="David Miller"/>
    <n v="67099"/>
    <n v="28"/>
    <n v="43"/>
    <x v="0"/>
    <n v="6"/>
    <d v="2020-10-21T00:00:00"/>
    <m/>
    <x v="0"/>
  </r>
  <r>
    <n v="1415"/>
    <n v="46"/>
    <s v="Female"/>
    <x v="5"/>
    <s v="Analyst"/>
    <s v="Omar Khalid"/>
    <n v="67870"/>
    <n v="1"/>
    <n v="26"/>
    <x v="0"/>
    <n v="2"/>
    <d v="2017-08-08T00:00:00"/>
    <d v="2021-01-06T00:00:00"/>
    <x v="1"/>
  </r>
  <r>
    <n v="1416"/>
    <n v="32"/>
    <s v="Male"/>
    <x v="5"/>
    <s v="Senior Analyst"/>
    <s v="Fatima Noor"/>
    <n v="79040"/>
    <n v="5"/>
    <n v="14"/>
    <x v="1"/>
    <n v="7"/>
    <d v="2022-10-19T00:00:00"/>
    <m/>
    <x v="0"/>
  </r>
  <r>
    <n v="1417"/>
    <n v="33"/>
    <s v="Female"/>
    <x v="5"/>
    <s v="Associate"/>
    <s v="David Miller"/>
    <n v="100966"/>
    <n v="27"/>
    <n v="24"/>
    <x v="4"/>
    <n v="8"/>
    <d v="2023-08-08T00:00:00"/>
    <m/>
    <x v="0"/>
  </r>
  <r>
    <n v="1418"/>
    <n v="23"/>
    <s v="Female"/>
    <x v="0"/>
    <s v="Analyst"/>
    <s v="Sarah Lee"/>
    <n v="54880"/>
    <n v="4"/>
    <n v="58"/>
    <x v="0"/>
    <n v="3"/>
    <d v="2016-06-04T00:00:00"/>
    <m/>
    <x v="0"/>
  </r>
  <r>
    <n v="1419"/>
    <n v="39"/>
    <s v="Female"/>
    <x v="5"/>
    <s v="Specialist"/>
    <s v="Ahmad Hassan"/>
    <n v="74190"/>
    <n v="9"/>
    <n v="49"/>
    <x v="5"/>
    <n v="3"/>
    <d v="2022-06-25T00:00:00"/>
    <m/>
    <x v="0"/>
  </r>
  <r>
    <n v="1420"/>
    <n v="25"/>
    <s v="Male"/>
    <x v="3"/>
    <s v="Senior Analyst"/>
    <s v="David Miller"/>
    <n v="100667"/>
    <n v="7"/>
    <n v="18"/>
    <x v="1"/>
    <n v="5"/>
    <d v="2016-12-21T00:00:00"/>
    <d v="2020-04-06T00:00:00"/>
    <x v="1"/>
  </r>
  <r>
    <n v="1421"/>
    <n v="34"/>
    <s v="Female"/>
    <x v="3"/>
    <s v="Associate"/>
    <s v="Emily Brown"/>
    <n v="79660"/>
    <n v="0"/>
    <n v="38"/>
    <x v="5"/>
    <n v="8"/>
    <d v="2016-10-06T00:00:00"/>
    <d v="2021-05-21T00:00:00"/>
    <x v="1"/>
  </r>
  <r>
    <n v="1422"/>
    <n v="53"/>
    <s v="Female"/>
    <x v="4"/>
    <s v="Specialist"/>
    <s v="Sarah Lee"/>
    <n v="51308"/>
    <n v="15"/>
    <n v="2"/>
    <x v="5"/>
    <n v="10"/>
    <d v="2023-06-15T00:00:00"/>
    <d v="2023-02-11T00:00:00"/>
    <x v="1"/>
  </r>
  <r>
    <n v="1423"/>
    <n v="22"/>
    <s v="Male"/>
    <x v="2"/>
    <s v="Associate"/>
    <s v="Ahmad Hassan"/>
    <n v="98780"/>
    <n v="4"/>
    <n v="57"/>
    <x v="0"/>
    <n v="5"/>
    <d v="2017-12-08T00:00:00"/>
    <m/>
    <x v="0"/>
  </r>
  <r>
    <n v="1424"/>
    <n v="51"/>
    <s v="Male"/>
    <x v="2"/>
    <s v="Manager"/>
    <s v="Sarah Lee"/>
    <n v="79078"/>
    <n v="13"/>
    <n v="60"/>
    <x v="5"/>
    <n v="1"/>
    <d v="2015-04-16T00:00:00"/>
    <d v="2017-06-15T00:00:00"/>
    <x v="1"/>
  </r>
  <r>
    <n v="1425"/>
    <n v="46"/>
    <s v="Male"/>
    <x v="0"/>
    <s v="Associate"/>
    <s v="Sarah Lee"/>
    <n v="107847"/>
    <n v="7"/>
    <n v="45"/>
    <x v="0"/>
    <n v="6"/>
    <d v="2018-11-21T00:00:00"/>
    <m/>
    <x v="0"/>
  </r>
  <r>
    <n v="1426"/>
    <n v="29"/>
    <s v="Male"/>
    <x v="3"/>
    <s v="Associate"/>
    <s v="John Carter"/>
    <n v="96387"/>
    <n v="23"/>
    <n v="20"/>
    <x v="2"/>
    <n v="8"/>
    <d v="2016-05-21T00:00:00"/>
    <m/>
    <x v="0"/>
  </r>
  <r>
    <n v="1427"/>
    <n v="42"/>
    <s v="Female"/>
    <x v="2"/>
    <s v="Specialist"/>
    <s v="Ahmad Hassan"/>
    <n v="60852"/>
    <n v="1"/>
    <n v="58"/>
    <x v="0"/>
    <n v="8"/>
    <d v="2015-08-10T00:00:00"/>
    <m/>
    <x v="0"/>
  </r>
  <r>
    <n v="1428"/>
    <n v="38"/>
    <s v="Female"/>
    <x v="3"/>
    <s v="Specialist"/>
    <s v="Ahmad Hassan"/>
    <n v="83444"/>
    <n v="1"/>
    <n v="57"/>
    <x v="4"/>
    <n v="10"/>
    <d v="2019-07-14T00:00:00"/>
    <m/>
    <x v="0"/>
  </r>
  <r>
    <n v="1429"/>
    <n v="25"/>
    <s v="Female"/>
    <x v="5"/>
    <s v="Specialist"/>
    <s v="Ahmad Hassan"/>
    <n v="74070"/>
    <n v="2"/>
    <n v="38"/>
    <x v="1"/>
    <n v="8"/>
    <d v="2020-08-12T00:00:00"/>
    <m/>
    <x v="0"/>
  </r>
  <r>
    <n v="1430"/>
    <n v="53"/>
    <s v="Female"/>
    <x v="4"/>
    <s v="Specialist"/>
    <s v="Omar Khalid"/>
    <n v="84739"/>
    <n v="26"/>
    <n v="37"/>
    <x v="3"/>
    <n v="3"/>
    <d v="2017-11-26T00:00:00"/>
    <m/>
    <x v="0"/>
  </r>
  <r>
    <n v="1431"/>
    <n v="42"/>
    <s v="Male"/>
    <x v="4"/>
    <s v="Manager"/>
    <s v="Fatima Noor"/>
    <n v="102171"/>
    <n v="19"/>
    <n v="31"/>
    <x v="2"/>
    <n v="3"/>
    <d v="2016-07-02T00:00:00"/>
    <m/>
    <x v="0"/>
  </r>
  <r>
    <n v="1432"/>
    <n v="40"/>
    <s v="Female"/>
    <x v="2"/>
    <s v="Specialist"/>
    <s v="Ahmad Hassan"/>
    <n v="47705"/>
    <n v="0"/>
    <n v="14"/>
    <x v="1"/>
    <n v="6"/>
    <d v="2019-02-04T00:00:00"/>
    <m/>
    <x v="0"/>
  </r>
  <r>
    <n v="1433"/>
    <n v="55"/>
    <s v="Male"/>
    <x v="0"/>
    <s v="Associate"/>
    <s v="David Miller"/>
    <n v="46998"/>
    <n v="6"/>
    <n v="21"/>
    <x v="4"/>
    <n v="2"/>
    <d v="2020-06-27T00:00:00"/>
    <m/>
    <x v="0"/>
  </r>
  <r>
    <n v="1434"/>
    <n v="27"/>
    <s v="Male"/>
    <x v="4"/>
    <s v="Manager"/>
    <s v="Sarah Lee"/>
    <n v="88699"/>
    <n v="6"/>
    <n v="27"/>
    <x v="0"/>
    <n v="6"/>
    <d v="2017-11-15T00:00:00"/>
    <m/>
    <x v="0"/>
  </r>
  <r>
    <n v="1435"/>
    <n v="36"/>
    <s v="Female"/>
    <x v="5"/>
    <s v="Associate"/>
    <s v="Sarah Lee"/>
    <n v="90200"/>
    <n v="1"/>
    <n v="22"/>
    <x v="4"/>
    <n v="7"/>
    <d v="2017-08-21T00:00:00"/>
    <m/>
    <x v="0"/>
  </r>
  <r>
    <n v="1436"/>
    <n v="52"/>
    <s v="Male"/>
    <x v="2"/>
    <s v="Specialist"/>
    <s v="Fatima Noor"/>
    <n v="78581"/>
    <n v="14"/>
    <n v="9"/>
    <x v="3"/>
    <n v="4"/>
    <d v="2019-07-07T00:00:00"/>
    <m/>
    <x v="0"/>
  </r>
  <r>
    <n v="1437"/>
    <n v="38"/>
    <s v="Male"/>
    <x v="5"/>
    <s v="Specialist"/>
    <s v="Ahmad Hassan"/>
    <n v="88735"/>
    <n v="19"/>
    <n v="24"/>
    <x v="2"/>
    <n v="10"/>
    <d v="2023-10-15T00:00:00"/>
    <m/>
    <x v="0"/>
  </r>
  <r>
    <n v="1438"/>
    <n v="41"/>
    <s v="Male"/>
    <x v="0"/>
    <s v="Senior Analyst"/>
    <s v="John Carter"/>
    <n v="93373"/>
    <n v="10"/>
    <n v="26"/>
    <x v="4"/>
    <n v="9"/>
    <d v="2019-02-06T00:00:00"/>
    <m/>
    <x v="0"/>
  </r>
  <r>
    <n v="1439"/>
    <n v="33"/>
    <s v="Female"/>
    <x v="4"/>
    <s v="Analyst"/>
    <s v="David Miller"/>
    <n v="54005"/>
    <n v="25"/>
    <n v="57"/>
    <x v="3"/>
    <n v="2"/>
    <d v="2018-01-11T00:00:00"/>
    <d v="2019-10-06T00:00:00"/>
    <x v="1"/>
  </r>
  <r>
    <n v="1440"/>
    <n v="35"/>
    <s v="Male"/>
    <x v="5"/>
    <s v="Analyst"/>
    <s v="Ahmad Hassan"/>
    <n v="91402"/>
    <n v="2"/>
    <n v="31"/>
    <x v="1"/>
    <n v="7"/>
    <d v="2023-08-21T00:00:00"/>
    <m/>
    <x v="0"/>
  </r>
  <r>
    <n v="1441"/>
    <n v="59"/>
    <s v="Male"/>
    <x v="4"/>
    <s v="Associate"/>
    <s v="John Carter"/>
    <n v="67366"/>
    <n v="26"/>
    <n v="30"/>
    <x v="0"/>
    <n v="3"/>
    <d v="2023-11-20T00:00:00"/>
    <m/>
    <x v="0"/>
  </r>
  <r>
    <n v="1442"/>
    <n v="54"/>
    <s v="Male"/>
    <x v="4"/>
    <s v="Manager"/>
    <s v="John Carter"/>
    <n v="64659"/>
    <n v="18"/>
    <n v="2"/>
    <x v="5"/>
    <n v="4"/>
    <d v="2024-10-15T00:00:00"/>
    <d v="2023-12-20T00:00:00"/>
    <x v="1"/>
  </r>
  <r>
    <n v="1443"/>
    <n v="32"/>
    <s v="Female"/>
    <x v="1"/>
    <s v="Analyst"/>
    <s v="David Miller"/>
    <n v="71450"/>
    <n v="10"/>
    <n v="33"/>
    <x v="2"/>
    <n v="9"/>
    <d v="2019-01-20T00:00:00"/>
    <d v="2016-03-25T00:00:00"/>
    <x v="1"/>
  </r>
  <r>
    <n v="1444"/>
    <n v="24"/>
    <s v="Female"/>
    <x v="0"/>
    <s v="Specialist"/>
    <s v="Omar Khalid"/>
    <n v="55789"/>
    <n v="7"/>
    <n v="2"/>
    <x v="0"/>
    <n v="9"/>
    <d v="2015-07-12T00:00:00"/>
    <d v="2021-05-19T00:00:00"/>
    <x v="1"/>
  </r>
  <r>
    <n v="1445"/>
    <n v="52"/>
    <s v="Female"/>
    <x v="1"/>
    <s v="Senior Analyst"/>
    <s v="David Miller"/>
    <n v="91995"/>
    <n v="24"/>
    <n v="18"/>
    <x v="4"/>
    <n v="1"/>
    <d v="2017-12-04T00:00:00"/>
    <m/>
    <x v="0"/>
  </r>
  <r>
    <n v="1446"/>
    <n v="40"/>
    <s v="Male"/>
    <x v="4"/>
    <s v="Analyst"/>
    <s v="John Carter"/>
    <n v="71036"/>
    <n v="15"/>
    <n v="37"/>
    <x v="0"/>
    <n v="10"/>
    <d v="2023-08-21T00:00:00"/>
    <m/>
    <x v="0"/>
  </r>
  <r>
    <n v="1447"/>
    <n v="42"/>
    <s v="Male"/>
    <x v="0"/>
    <s v="Analyst"/>
    <s v="Ahmad Hassan"/>
    <n v="93485"/>
    <n v="25"/>
    <n v="15"/>
    <x v="3"/>
    <n v="6"/>
    <d v="2015-05-07T00:00:00"/>
    <d v="2021-04-03T00:00:00"/>
    <x v="1"/>
  </r>
  <r>
    <n v="1448"/>
    <n v="40"/>
    <s v="Male"/>
    <x v="5"/>
    <s v="Specialist"/>
    <s v="Sarah Lee"/>
    <n v="51752"/>
    <n v="5"/>
    <n v="59"/>
    <x v="4"/>
    <n v="1"/>
    <d v="2024-01-23T00:00:00"/>
    <m/>
    <x v="0"/>
  </r>
  <r>
    <n v="1449"/>
    <n v="45"/>
    <s v="Female"/>
    <x v="4"/>
    <s v="Manager"/>
    <s v="Ahmad Hassan"/>
    <n v="46544"/>
    <n v="22"/>
    <n v="14"/>
    <x v="4"/>
    <n v="3"/>
    <d v="2023-03-12T00:00:00"/>
    <m/>
    <x v="0"/>
  </r>
  <r>
    <n v="1450"/>
    <n v="34"/>
    <s v="Female"/>
    <x v="5"/>
    <s v="Specialist"/>
    <s v="Ahmad Hassan"/>
    <n v="103550"/>
    <n v="30"/>
    <n v="26"/>
    <x v="5"/>
    <n v="5"/>
    <d v="2016-01-17T00:00:00"/>
    <m/>
    <x v="0"/>
  </r>
  <r>
    <n v="1451"/>
    <n v="36"/>
    <s v="Female"/>
    <x v="2"/>
    <s v="Senior Analyst"/>
    <s v="Fatima Noor"/>
    <n v="107286"/>
    <n v="4"/>
    <n v="31"/>
    <x v="1"/>
    <n v="4"/>
    <d v="2019-01-12T00:00:00"/>
    <m/>
    <x v="0"/>
  </r>
  <r>
    <n v="1452"/>
    <n v="27"/>
    <s v="Female"/>
    <x v="0"/>
    <s v="Manager"/>
    <s v="Ahmad Hassan"/>
    <n v="74381"/>
    <n v="8"/>
    <n v="35"/>
    <x v="3"/>
    <n v="4"/>
    <d v="2024-12-11T00:00:00"/>
    <m/>
    <x v="0"/>
  </r>
  <r>
    <n v="1453"/>
    <n v="38"/>
    <s v="Male"/>
    <x v="5"/>
    <s v="Senior Analyst"/>
    <s v="John Carter"/>
    <n v="76251"/>
    <n v="28"/>
    <n v="30"/>
    <x v="4"/>
    <n v="1"/>
    <d v="2020-12-20T00:00:00"/>
    <m/>
    <x v="0"/>
  </r>
  <r>
    <n v="1454"/>
    <n v="25"/>
    <s v="Female"/>
    <x v="5"/>
    <s v="Associate"/>
    <s v="Emily Brown"/>
    <n v="94816"/>
    <n v="21"/>
    <n v="40"/>
    <x v="1"/>
    <n v="7"/>
    <d v="2015-04-14T00:00:00"/>
    <m/>
    <x v="0"/>
  </r>
  <r>
    <n v="1455"/>
    <n v="23"/>
    <s v="Male"/>
    <x v="4"/>
    <s v="Analyst"/>
    <s v="Sarah Lee"/>
    <n v="57370"/>
    <n v="30"/>
    <n v="44"/>
    <x v="4"/>
    <n v="7"/>
    <d v="2016-09-05T00:00:00"/>
    <m/>
    <x v="0"/>
  </r>
  <r>
    <n v="1456"/>
    <n v="43"/>
    <s v="Male"/>
    <x v="1"/>
    <s v="Senior Analyst"/>
    <s v="David Miller"/>
    <n v="52809"/>
    <n v="4"/>
    <n v="49"/>
    <x v="0"/>
    <n v="3"/>
    <d v="2022-12-07T00:00:00"/>
    <d v="2018-07-14T00:00:00"/>
    <x v="1"/>
  </r>
  <r>
    <n v="1457"/>
    <n v="34"/>
    <s v="Female"/>
    <x v="5"/>
    <s v="Analyst"/>
    <s v="Ahmad Hassan"/>
    <n v="58555"/>
    <n v="22"/>
    <n v="31"/>
    <x v="0"/>
    <n v="1"/>
    <d v="2018-11-26T00:00:00"/>
    <d v="2023-02-23T00:00:00"/>
    <x v="1"/>
  </r>
  <r>
    <n v="1458"/>
    <n v="51"/>
    <s v="Male"/>
    <x v="5"/>
    <s v="Specialist"/>
    <s v="Omar Khalid"/>
    <n v="99357"/>
    <n v="15"/>
    <n v="15"/>
    <x v="1"/>
    <n v="10"/>
    <d v="2023-05-01T00:00:00"/>
    <d v="2023-01-03T00:00:00"/>
    <x v="1"/>
  </r>
  <r>
    <n v="1459"/>
    <n v="49"/>
    <s v="Female"/>
    <x v="2"/>
    <s v="Senior Analyst"/>
    <s v="Ahmad Hassan"/>
    <n v="67090"/>
    <n v="17"/>
    <n v="21"/>
    <x v="5"/>
    <n v="6"/>
    <d v="2018-03-09T00:00:00"/>
    <m/>
    <x v="0"/>
  </r>
  <r>
    <n v="1460"/>
    <n v="54"/>
    <s v="Female"/>
    <x v="2"/>
    <s v="Specialist"/>
    <s v="Ahmad Hassan"/>
    <n v="99343"/>
    <n v="7"/>
    <n v="34"/>
    <x v="0"/>
    <n v="10"/>
    <d v="2020-12-25T00:00:00"/>
    <d v="2022-06-17T00:00:00"/>
    <x v="1"/>
  </r>
  <r>
    <n v="1461"/>
    <n v="33"/>
    <s v="Male"/>
    <x v="0"/>
    <s v="Analyst"/>
    <s v="Emily Brown"/>
    <n v="90620"/>
    <n v="13"/>
    <n v="2"/>
    <x v="2"/>
    <n v="1"/>
    <d v="2023-02-17T00:00:00"/>
    <m/>
    <x v="0"/>
  </r>
  <r>
    <n v="1462"/>
    <n v="57"/>
    <s v="Female"/>
    <x v="5"/>
    <s v="Manager"/>
    <s v="Omar Khalid"/>
    <n v="64409"/>
    <n v="15"/>
    <n v="4"/>
    <x v="5"/>
    <n v="9"/>
    <d v="2019-07-22T00:00:00"/>
    <m/>
    <x v="0"/>
  </r>
  <r>
    <n v="1463"/>
    <n v="52"/>
    <s v="Female"/>
    <x v="1"/>
    <s v="Associate"/>
    <s v="Fatima Noor"/>
    <n v="92944"/>
    <n v="0"/>
    <n v="39"/>
    <x v="5"/>
    <n v="8"/>
    <d v="2017-11-04T00:00:00"/>
    <m/>
    <x v="0"/>
  </r>
  <r>
    <n v="1464"/>
    <n v="50"/>
    <s v="Male"/>
    <x v="5"/>
    <s v="Specialist"/>
    <s v="Omar Khalid"/>
    <n v="77534"/>
    <n v="7"/>
    <n v="11"/>
    <x v="2"/>
    <n v="7"/>
    <d v="2024-05-13T00:00:00"/>
    <d v="2022-03-26T00:00:00"/>
    <x v="1"/>
  </r>
  <r>
    <n v="1465"/>
    <n v="34"/>
    <s v="Female"/>
    <x v="1"/>
    <s v="Associate"/>
    <s v="Emily Brown"/>
    <n v="82212"/>
    <n v="3"/>
    <n v="2"/>
    <x v="5"/>
    <n v="10"/>
    <d v="2018-02-05T00:00:00"/>
    <m/>
    <x v="0"/>
  </r>
  <r>
    <n v="1466"/>
    <n v="49"/>
    <s v="Female"/>
    <x v="0"/>
    <s v="Analyst"/>
    <s v="David Miller"/>
    <n v="59297"/>
    <n v="4"/>
    <n v="0"/>
    <x v="3"/>
    <n v="7"/>
    <d v="2024-09-22T00:00:00"/>
    <d v="2017-09-07T00:00:00"/>
    <x v="1"/>
  </r>
  <r>
    <n v="1467"/>
    <n v="30"/>
    <s v="Male"/>
    <x v="2"/>
    <s v="Specialist"/>
    <s v="Omar Khalid"/>
    <n v="86581"/>
    <n v="14"/>
    <n v="46"/>
    <x v="4"/>
    <n v="2"/>
    <d v="2021-12-18T00:00:00"/>
    <m/>
    <x v="0"/>
  </r>
  <r>
    <n v="1468"/>
    <n v="24"/>
    <s v="Female"/>
    <x v="3"/>
    <s v="Specialist"/>
    <s v="Sarah Lee"/>
    <n v="67685"/>
    <n v="6"/>
    <n v="18"/>
    <x v="1"/>
    <n v="8"/>
    <d v="2016-05-17T00:00:00"/>
    <m/>
    <x v="0"/>
  </r>
  <r>
    <n v="1469"/>
    <n v="53"/>
    <s v="Female"/>
    <x v="3"/>
    <s v="Analyst"/>
    <s v="Omar Khalid"/>
    <n v="74213"/>
    <n v="10"/>
    <n v="55"/>
    <x v="3"/>
    <n v="8"/>
    <d v="2015-08-14T00:00:00"/>
    <m/>
    <x v="0"/>
  </r>
  <r>
    <n v="1470"/>
    <n v="31"/>
    <s v="Female"/>
    <x v="5"/>
    <s v="Specialist"/>
    <s v="Fatima Noor"/>
    <n v="101822"/>
    <n v="3"/>
    <n v="22"/>
    <x v="4"/>
    <n v="6"/>
    <d v="2024-07-13T00:00:00"/>
    <m/>
    <x v="0"/>
  </r>
  <r>
    <n v="1471"/>
    <n v="57"/>
    <s v="Male"/>
    <x v="3"/>
    <s v="Manager"/>
    <s v="John Carter"/>
    <n v="56944"/>
    <n v="14"/>
    <n v="14"/>
    <x v="2"/>
    <n v="7"/>
    <d v="2024-06-17T00:00:00"/>
    <m/>
    <x v="0"/>
  </r>
  <r>
    <n v="1472"/>
    <n v="34"/>
    <s v="Female"/>
    <x v="2"/>
    <s v="Senior Analyst"/>
    <s v="Ahmad Hassan"/>
    <n v="83350"/>
    <n v="7"/>
    <n v="42"/>
    <x v="2"/>
    <n v="9"/>
    <d v="2023-04-01T00:00:00"/>
    <m/>
    <x v="0"/>
  </r>
  <r>
    <n v="1473"/>
    <n v="36"/>
    <s v="Female"/>
    <x v="3"/>
    <s v="Specialist"/>
    <s v="Ahmad Hassan"/>
    <n v="61380"/>
    <n v="15"/>
    <n v="19"/>
    <x v="3"/>
    <n v="1"/>
    <d v="2019-06-01T00:00:00"/>
    <m/>
    <x v="0"/>
  </r>
  <r>
    <n v="1474"/>
    <n v="29"/>
    <s v="Female"/>
    <x v="2"/>
    <s v="Specialist"/>
    <s v="Sarah Lee"/>
    <n v="89100"/>
    <n v="8"/>
    <n v="26"/>
    <x v="1"/>
    <n v="4"/>
    <d v="2020-04-07T00:00:00"/>
    <m/>
    <x v="0"/>
  </r>
  <r>
    <n v="1475"/>
    <n v="32"/>
    <s v="Male"/>
    <x v="2"/>
    <s v="Manager"/>
    <s v="Fatima Noor"/>
    <n v="66289"/>
    <n v="3"/>
    <n v="1"/>
    <x v="2"/>
    <n v="5"/>
    <d v="2018-07-18T00:00:00"/>
    <m/>
    <x v="0"/>
  </r>
  <r>
    <n v="1476"/>
    <n v="50"/>
    <s v="Male"/>
    <x v="1"/>
    <s v="Manager"/>
    <s v="John Carter"/>
    <n v="69132"/>
    <n v="11"/>
    <n v="20"/>
    <x v="2"/>
    <n v="7"/>
    <d v="2018-01-25T00:00:00"/>
    <d v="2021-11-15T00:00:00"/>
    <x v="1"/>
  </r>
  <r>
    <n v="1477"/>
    <n v="21"/>
    <s v="Female"/>
    <x v="2"/>
    <s v="Manager"/>
    <s v="David Miller"/>
    <n v="73570"/>
    <n v="3"/>
    <n v="40"/>
    <x v="3"/>
    <n v="4"/>
    <d v="2019-08-19T00:00:00"/>
    <m/>
    <x v="0"/>
  </r>
  <r>
    <n v="1478"/>
    <n v="45"/>
    <s v="Female"/>
    <x v="4"/>
    <s v="Associate"/>
    <s v="Emily Brown"/>
    <n v="108954"/>
    <n v="27"/>
    <n v="52"/>
    <x v="4"/>
    <n v="5"/>
    <d v="2024-09-10T00:00:00"/>
    <d v="2022-06-09T00:00:00"/>
    <x v="1"/>
  </r>
  <r>
    <n v="1479"/>
    <n v="23"/>
    <s v="Female"/>
    <x v="2"/>
    <s v="Associate"/>
    <s v="Sarah Lee"/>
    <n v="99971"/>
    <n v="19"/>
    <n v="30"/>
    <x v="5"/>
    <n v="1"/>
    <d v="2016-11-11T00:00:00"/>
    <m/>
    <x v="0"/>
  </r>
  <r>
    <n v="1480"/>
    <n v="46"/>
    <s v="Female"/>
    <x v="2"/>
    <s v="Senior Analyst"/>
    <s v="Fatima Noor"/>
    <n v="77101"/>
    <n v="16"/>
    <n v="8"/>
    <x v="0"/>
    <n v="4"/>
    <d v="2019-08-02T00:00:00"/>
    <m/>
    <x v="0"/>
  </r>
  <r>
    <n v="1481"/>
    <n v="44"/>
    <s v="Male"/>
    <x v="4"/>
    <s v="Analyst"/>
    <s v="John Carter"/>
    <n v="76774"/>
    <n v="8"/>
    <n v="28"/>
    <x v="4"/>
    <n v="8"/>
    <d v="2024-07-05T00:00:00"/>
    <m/>
    <x v="0"/>
  </r>
  <r>
    <n v="1482"/>
    <n v="28"/>
    <s v="Female"/>
    <x v="2"/>
    <s v="Specialist"/>
    <s v="Fatima Noor"/>
    <n v="51364"/>
    <n v="23"/>
    <n v="22"/>
    <x v="1"/>
    <n v="10"/>
    <d v="2017-07-13T00:00:00"/>
    <d v="2020-01-17T00:00:00"/>
    <x v="1"/>
  </r>
  <r>
    <n v="1483"/>
    <n v="23"/>
    <s v="Female"/>
    <x v="1"/>
    <s v="Specialist"/>
    <s v="David Miller"/>
    <n v="52855"/>
    <n v="5"/>
    <n v="30"/>
    <x v="1"/>
    <n v="5"/>
    <d v="2024-08-08T00:00:00"/>
    <m/>
    <x v="0"/>
  </r>
  <r>
    <n v="1484"/>
    <n v="28"/>
    <s v="Male"/>
    <x v="1"/>
    <s v="Manager"/>
    <s v="David Miller"/>
    <n v="90525"/>
    <n v="30"/>
    <n v="25"/>
    <x v="3"/>
    <n v="10"/>
    <d v="2021-06-09T00:00:00"/>
    <d v="2022-02-19T00:00:00"/>
    <x v="1"/>
  </r>
  <r>
    <n v="1485"/>
    <n v="29"/>
    <s v="Male"/>
    <x v="2"/>
    <s v="Manager"/>
    <s v="Fatima Noor"/>
    <n v="67202"/>
    <n v="15"/>
    <n v="24"/>
    <x v="0"/>
    <n v="4"/>
    <d v="2019-08-13T00:00:00"/>
    <d v="2022-05-06T00:00:00"/>
    <x v="1"/>
  </r>
  <r>
    <n v="1486"/>
    <n v="27"/>
    <s v="Male"/>
    <x v="4"/>
    <s v="Associate"/>
    <s v="Omar Khalid"/>
    <n v="89636"/>
    <n v="22"/>
    <n v="56"/>
    <x v="3"/>
    <n v="8"/>
    <d v="2018-11-23T00:00:00"/>
    <d v="2021-09-10T00:00:00"/>
    <x v="1"/>
  </r>
  <r>
    <n v="1487"/>
    <n v="28"/>
    <s v="Male"/>
    <x v="0"/>
    <s v="Specialist"/>
    <s v="Sarah Lee"/>
    <n v="96913"/>
    <n v="4"/>
    <n v="38"/>
    <x v="5"/>
    <n v="1"/>
    <d v="2018-01-23T00:00:00"/>
    <d v="2021-06-07T00:00:00"/>
    <x v="1"/>
  </r>
  <r>
    <n v="1488"/>
    <n v="30"/>
    <s v="Male"/>
    <x v="5"/>
    <s v="Senior Analyst"/>
    <s v="Ahmad Hassan"/>
    <n v="84510"/>
    <n v="30"/>
    <n v="37"/>
    <x v="5"/>
    <n v="9"/>
    <d v="2019-03-25T00:00:00"/>
    <d v="2023-03-22T00:00:00"/>
    <x v="1"/>
  </r>
  <r>
    <n v="1489"/>
    <n v="48"/>
    <s v="Female"/>
    <x v="2"/>
    <s v="Manager"/>
    <s v="Emily Brown"/>
    <n v="74370"/>
    <n v="18"/>
    <n v="5"/>
    <x v="5"/>
    <n v="9"/>
    <d v="2019-04-20T00:00:00"/>
    <m/>
    <x v="0"/>
  </r>
  <r>
    <n v="1490"/>
    <n v="46"/>
    <s v="Female"/>
    <x v="0"/>
    <s v="Specialist"/>
    <s v="Omar Khalid"/>
    <n v="89076"/>
    <n v="6"/>
    <n v="18"/>
    <x v="3"/>
    <n v="3"/>
    <d v="2023-09-04T00:00:00"/>
    <m/>
    <x v="0"/>
  </r>
  <r>
    <n v="1491"/>
    <n v="49"/>
    <s v="Male"/>
    <x v="4"/>
    <s v="Manager"/>
    <s v="John Carter"/>
    <n v="76579"/>
    <n v="0"/>
    <n v="49"/>
    <x v="1"/>
    <n v="7"/>
    <d v="2019-11-11T00:00:00"/>
    <m/>
    <x v="0"/>
  </r>
  <r>
    <n v="1492"/>
    <n v="21"/>
    <s v="Female"/>
    <x v="3"/>
    <s v="Associate"/>
    <s v="John Carter"/>
    <n v="109091"/>
    <n v="24"/>
    <n v="54"/>
    <x v="1"/>
    <n v="9"/>
    <d v="2024-07-24T00:00:00"/>
    <m/>
    <x v="0"/>
  </r>
  <r>
    <n v="1493"/>
    <n v="27"/>
    <s v="Female"/>
    <x v="2"/>
    <s v="Senior Analyst"/>
    <s v="Sarah Lee"/>
    <n v="82604"/>
    <n v="10"/>
    <n v="48"/>
    <x v="1"/>
    <n v="9"/>
    <d v="2015-01-03T00:00:00"/>
    <m/>
    <x v="0"/>
  </r>
  <r>
    <n v="1494"/>
    <n v="36"/>
    <s v="Male"/>
    <x v="4"/>
    <s v="Associate"/>
    <s v="Omar Khalid"/>
    <n v="94072"/>
    <n v="5"/>
    <n v="12"/>
    <x v="1"/>
    <n v="3"/>
    <d v="2015-08-28T00:00:00"/>
    <m/>
    <x v="0"/>
  </r>
  <r>
    <n v="1495"/>
    <n v="32"/>
    <s v="Male"/>
    <x v="0"/>
    <s v="Manager"/>
    <s v="Sarah Lee"/>
    <n v="51694"/>
    <n v="29"/>
    <n v="8"/>
    <x v="3"/>
    <n v="10"/>
    <d v="2019-01-25T00:00:00"/>
    <m/>
    <x v="0"/>
  </r>
  <r>
    <n v="1496"/>
    <n v="58"/>
    <s v="Female"/>
    <x v="0"/>
    <s v="Senior Analyst"/>
    <s v="Ahmad Hassan"/>
    <n v="78453"/>
    <n v="10"/>
    <n v="0"/>
    <x v="1"/>
    <n v="8"/>
    <d v="2024-07-09T00:00:00"/>
    <m/>
    <x v="0"/>
  </r>
  <r>
    <n v="1497"/>
    <n v="60"/>
    <s v="Male"/>
    <x v="0"/>
    <s v="Senior Analyst"/>
    <s v="Omar Khalid"/>
    <n v="59543"/>
    <n v="29"/>
    <n v="2"/>
    <x v="1"/>
    <n v="8"/>
    <d v="2017-01-17T00:00:00"/>
    <m/>
    <x v="0"/>
  </r>
  <r>
    <n v="1498"/>
    <n v="38"/>
    <s v="Female"/>
    <x v="5"/>
    <s v="Specialist"/>
    <s v="Sarah Lee"/>
    <n v="77835"/>
    <n v="20"/>
    <n v="7"/>
    <x v="4"/>
    <n v="7"/>
    <d v="2022-01-01T00:00:00"/>
    <m/>
    <x v="0"/>
  </r>
  <r>
    <n v="1499"/>
    <n v="41"/>
    <s v="Female"/>
    <x v="2"/>
    <s v="Specialist"/>
    <s v="David Miller"/>
    <n v="69438"/>
    <n v="1"/>
    <n v="47"/>
    <x v="0"/>
    <n v="4"/>
    <d v="2018-12-01T00:00:00"/>
    <m/>
    <x v="0"/>
  </r>
  <r>
    <n v="1500"/>
    <n v="58"/>
    <s v="Male"/>
    <x v="4"/>
    <s v="Manager"/>
    <s v="David Miller"/>
    <n v="53593"/>
    <n v="29"/>
    <n v="49"/>
    <x v="4"/>
    <n v="4"/>
    <d v="2019-09-24T00:00:00"/>
    <m/>
    <x v="0"/>
  </r>
  <r>
    <n v="1501"/>
    <n v="23"/>
    <s v="Female"/>
    <x v="0"/>
    <s v="Specialist"/>
    <s v="Omar Khalid"/>
    <n v="87381"/>
    <n v="0"/>
    <n v="29"/>
    <x v="4"/>
    <n v="10"/>
    <d v="2016-11-01T00:00:00"/>
    <m/>
    <x v="0"/>
  </r>
  <r>
    <n v="1502"/>
    <n v="51"/>
    <s v="Female"/>
    <x v="5"/>
    <s v="Senior Analyst"/>
    <s v="Sarah Lee"/>
    <n v="73886"/>
    <n v="4"/>
    <n v="18"/>
    <x v="5"/>
    <n v="10"/>
    <d v="2020-12-26T00:00:00"/>
    <m/>
    <x v="0"/>
  </r>
  <r>
    <n v="1503"/>
    <n v="27"/>
    <s v="Male"/>
    <x v="1"/>
    <s v="Senior Analyst"/>
    <s v="Fatima Noor"/>
    <n v="50715"/>
    <n v="28"/>
    <n v="36"/>
    <x v="2"/>
    <n v="1"/>
    <d v="2022-11-09T00:00:00"/>
    <m/>
    <x v="0"/>
  </r>
  <r>
    <n v="1504"/>
    <n v="48"/>
    <s v="Female"/>
    <x v="4"/>
    <s v="Analyst"/>
    <s v="Ahmad Hassan"/>
    <n v="84272"/>
    <n v="3"/>
    <n v="45"/>
    <x v="1"/>
    <n v="1"/>
    <d v="2016-03-04T00:00:00"/>
    <d v="2020-05-27T00:00:00"/>
    <x v="1"/>
  </r>
  <r>
    <n v="1505"/>
    <n v="58"/>
    <s v="Male"/>
    <x v="4"/>
    <s v="Analyst"/>
    <s v="Sarah Lee"/>
    <n v="79217"/>
    <n v="12"/>
    <n v="29"/>
    <x v="0"/>
    <n v="2"/>
    <d v="2022-05-08T00:00:00"/>
    <d v="2023-06-28T00:00:00"/>
    <x v="1"/>
  </r>
  <r>
    <n v="1506"/>
    <n v="45"/>
    <s v="Male"/>
    <x v="5"/>
    <s v="Specialist"/>
    <s v="Omar Khalid"/>
    <n v="68131"/>
    <n v="14"/>
    <n v="17"/>
    <x v="2"/>
    <n v="4"/>
    <d v="2016-06-25T00:00:00"/>
    <m/>
    <x v="0"/>
  </r>
  <r>
    <n v="1507"/>
    <n v="47"/>
    <s v="Female"/>
    <x v="4"/>
    <s v="Analyst"/>
    <s v="Emily Brown"/>
    <n v="89553"/>
    <n v="0"/>
    <n v="58"/>
    <x v="5"/>
    <n v="1"/>
    <d v="2018-09-24T00:00:00"/>
    <m/>
    <x v="0"/>
  </r>
  <r>
    <n v="1508"/>
    <n v="50"/>
    <s v="Female"/>
    <x v="0"/>
    <s v="Senior Analyst"/>
    <s v="Sarah Lee"/>
    <n v="108528"/>
    <n v="5"/>
    <n v="47"/>
    <x v="2"/>
    <n v="5"/>
    <d v="2018-10-16T00:00:00"/>
    <m/>
    <x v="0"/>
  </r>
  <r>
    <n v="1509"/>
    <n v="31"/>
    <s v="Female"/>
    <x v="2"/>
    <s v="Analyst"/>
    <s v="Sarah Lee"/>
    <n v="53401"/>
    <n v="4"/>
    <n v="52"/>
    <x v="4"/>
    <n v="10"/>
    <d v="2015-12-25T00:00:00"/>
    <d v="2022-03-23T00:00:00"/>
    <x v="1"/>
  </r>
  <r>
    <n v="1510"/>
    <n v="59"/>
    <s v="Female"/>
    <x v="3"/>
    <s v="Specialist"/>
    <s v="Ahmad Hassan"/>
    <n v="83115"/>
    <n v="24"/>
    <n v="47"/>
    <x v="2"/>
    <n v="7"/>
    <d v="2020-08-27T00:00:00"/>
    <m/>
    <x v="0"/>
  </r>
  <r>
    <n v="1511"/>
    <n v="50"/>
    <s v="Female"/>
    <x v="2"/>
    <s v="Specialist"/>
    <s v="John Carter"/>
    <n v="81316"/>
    <n v="14"/>
    <n v="3"/>
    <x v="5"/>
    <n v="4"/>
    <d v="2023-03-09T00:00:00"/>
    <m/>
    <x v="0"/>
  </r>
  <r>
    <n v="1512"/>
    <n v="23"/>
    <s v="Male"/>
    <x v="3"/>
    <s v="Associate"/>
    <s v="Ahmad Hassan"/>
    <n v="101847"/>
    <n v="22"/>
    <n v="53"/>
    <x v="4"/>
    <n v="8"/>
    <d v="2020-03-27T00:00:00"/>
    <m/>
    <x v="0"/>
  </r>
  <r>
    <n v="1513"/>
    <n v="53"/>
    <s v="Female"/>
    <x v="2"/>
    <s v="Senior Analyst"/>
    <s v="Fatima Noor"/>
    <n v="81259"/>
    <n v="27"/>
    <n v="60"/>
    <x v="5"/>
    <n v="2"/>
    <d v="2019-01-16T00:00:00"/>
    <m/>
    <x v="0"/>
  </r>
  <r>
    <n v="1514"/>
    <n v="55"/>
    <s v="Male"/>
    <x v="0"/>
    <s v="Associate"/>
    <s v="Ahmad Hassan"/>
    <n v="56899"/>
    <n v="8"/>
    <n v="27"/>
    <x v="1"/>
    <n v="4"/>
    <d v="2017-11-08T00:00:00"/>
    <m/>
    <x v="0"/>
  </r>
  <r>
    <n v="1515"/>
    <n v="27"/>
    <s v="Male"/>
    <x v="0"/>
    <s v="Senior Analyst"/>
    <s v="Fatima Noor"/>
    <n v="84395"/>
    <n v="9"/>
    <n v="55"/>
    <x v="4"/>
    <n v="6"/>
    <d v="2019-06-06T00:00:00"/>
    <m/>
    <x v="0"/>
  </r>
  <r>
    <n v="1516"/>
    <n v="47"/>
    <s v="Male"/>
    <x v="5"/>
    <s v="Associate"/>
    <s v="Emily Brown"/>
    <n v="56902"/>
    <n v="28"/>
    <n v="31"/>
    <x v="0"/>
    <n v="9"/>
    <d v="2017-01-02T00:00:00"/>
    <m/>
    <x v="0"/>
  </r>
  <r>
    <n v="1517"/>
    <n v="45"/>
    <s v="Male"/>
    <x v="2"/>
    <s v="Associate"/>
    <s v="Emily Brown"/>
    <n v="57775"/>
    <n v="7"/>
    <n v="51"/>
    <x v="4"/>
    <n v="2"/>
    <d v="2022-05-07T00:00:00"/>
    <m/>
    <x v="0"/>
  </r>
  <r>
    <n v="1518"/>
    <n v="24"/>
    <s v="Female"/>
    <x v="4"/>
    <s v="Specialist"/>
    <s v="Sarah Lee"/>
    <n v="95658"/>
    <n v="26"/>
    <n v="41"/>
    <x v="3"/>
    <n v="1"/>
    <d v="2023-05-27T00:00:00"/>
    <d v="2024-09-16T00:00:00"/>
    <x v="1"/>
  </r>
  <r>
    <n v="1519"/>
    <n v="46"/>
    <s v="Female"/>
    <x v="0"/>
    <s v="Specialist"/>
    <s v="John Carter"/>
    <n v="75100"/>
    <n v="17"/>
    <n v="1"/>
    <x v="4"/>
    <n v="9"/>
    <d v="2021-03-20T00:00:00"/>
    <m/>
    <x v="0"/>
  </r>
  <r>
    <n v="1520"/>
    <n v="35"/>
    <s v="Male"/>
    <x v="0"/>
    <s v="Manager"/>
    <s v="Fatima Noor"/>
    <n v="53271"/>
    <n v="3"/>
    <n v="1"/>
    <x v="1"/>
    <n v="9"/>
    <d v="2021-08-25T00:00:00"/>
    <m/>
    <x v="0"/>
  </r>
  <r>
    <n v="1521"/>
    <n v="55"/>
    <s v="Female"/>
    <x v="3"/>
    <s v="Senior Analyst"/>
    <s v="David Miller"/>
    <n v="79732"/>
    <n v="9"/>
    <n v="7"/>
    <x v="5"/>
    <n v="8"/>
    <d v="2021-02-16T00:00:00"/>
    <d v="2017-06-12T00:00:00"/>
    <x v="1"/>
  </r>
  <r>
    <n v="1522"/>
    <n v="54"/>
    <s v="Female"/>
    <x v="1"/>
    <s v="Specialist"/>
    <s v="Omar Khalid"/>
    <n v="79358"/>
    <n v="21"/>
    <n v="36"/>
    <x v="5"/>
    <n v="7"/>
    <d v="2021-02-02T00:00:00"/>
    <m/>
    <x v="0"/>
  </r>
  <r>
    <n v="1523"/>
    <n v="24"/>
    <s v="Female"/>
    <x v="1"/>
    <s v="Senior Analyst"/>
    <s v="Ahmad Hassan"/>
    <n v="106159"/>
    <n v="12"/>
    <n v="56"/>
    <x v="1"/>
    <n v="7"/>
    <d v="2020-12-09T00:00:00"/>
    <m/>
    <x v="0"/>
  </r>
  <r>
    <n v="1524"/>
    <n v="22"/>
    <s v="Female"/>
    <x v="2"/>
    <s v="Manager"/>
    <s v="David Miller"/>
    <n v="77120"/>
    <n v="5"/>
    <n v="44"/>
    <x v="3"/>
    <n v="6"/>
    <d v="2022-02-17T00:00:00"/>
    <m/>
    <x v="0"/>
  </r>
  <r>
    <n v="1525"/>
    <n v="43"/>
    <s v="Male"/>
    <x v="5"/>
    <s v="Manager"/>
    <s v="Ahmad Hassan"/>
    <n v="100542"/>
    <n v="9"/>
    <n v="7"/>
    <x v="5"/>
    <n v="7"/>
    <d v="2020-08-10T00:00:00"/>
    <d v="2016-08-02T00:00:00"/>
    <x v="1"/>
  </r>
  <r>
    <n v="1526"/>
    <n v="37"/>
    <s v="Female"/>
    <x v="0"/>
    <s v="Specialist"/>
    <s v="David Miller"/>
    <n v="82517"/>
    <n v="18"/>
    <n v="38"/>
    <x v="0"/>
    <n v="3"/>
    <d v="2021-06-14T00:00:00"/>
    <m/>
    <x v="0"/>
  </r>
  <r>
    <n v="1527"/>
    <n v="46"/>
    <s v="Female"/>
    <x v="2"/>
    <s v="Senior Analyst"/>
    <s v="Fatima Noor"/>
    <n v="61685"/>
    <n v="2"/>
    <n v="7"/>
    <x v="4"/>
    <n v="10"/>
    <d v="2017-08-15T00:00:00"/>
    <m/>
    <x v="0"/>
  </r>
  <r>
    <n v="1528"/>
    <n v="29"/>
    <s v="Male"/>
    <x v="0"/>
    <s v="Associate"/>
    <s v="David Miller"/>
    <n v="81827"/>
    <n v="1"/>
    <n v="20"/>
    <x v="2"/>
    <n v="5"/>
    <d v="2018-03-08T00:00:00"/>
    <m/>
    <x v="0"/>
  </r>
  <r>
    <n v="1529"/>
    <n v="26"/>
    <s v="Male"/>
    <x v="2"/>
    <s v="Specialist"/>
    <s v="Fatima Noor"/>
    <n v="75849"/>
    <n v="26"/>
    <n v="56"/>
    <x v="0"/>
    <n v="3"/>
    <d v="2019-03-18T00:00:00"/>
    <d v="2024-04-08T00:00:00"/>
    <x v="1"/>
  </r>
  <r>
    <n v="1530"/>
    <n v="23"/>
    <s v="Male"/>
    <x v="5"/>
    <s v="Associate"/>
    <s v="Emily Brown"/>
    <n v="72486"/>
    <n v="17"/>
    <n v="53"/>
    <x v="2"/>
    <n v="4"/>
    <d v="2020-02-11T00:00:00"/>
    <m/>
    <x v="0"/>
  </r>
  <r>
    <n v="1531"/>
    <n v="23"/>
    <s v="Female"/>
    <x v="1"/>
    <s v="Analyst"/>
    <s v="Fatima Noor"/>
    <n v="48420"/>
    <n v="15"/>
    <n v="34"/>
    <x v="5"/>
    <n v="7"/>
    <d v="2018-10-16T00:00:00"/>
    <d v="2018-02-06T00:00:00"/>
    <x v="1"/>
  </r>
  <r>
    <n v="1532"/>
    <n v="52"/>
    <s v="Female"/>
    <x v="4"/>
    <s v="Manager"/>
    <s v="Omar Khalid"/>
    <n v="104102"/>
    <n v="5"/>
    <n v="49"/>
    <x v="1"/>
    <n v="5"/>
    <d v="2019-10-09T00:00:00"/>
    <m/>
    <x v="0"/>
  </r>
  <r>
    <n v="1533"/>
    <n v="25"/>
    <s v="Male"/>
    <x v="5"/>
    <s v="Senior Analyst"/>
    <s v="Sarah Lee"/>
    <n v="62225"/>
    <n v="0"/>
    <n v="6"/>
    <x v="0"/>
    <n v="7"/>
    <d v="2016-11-28T00:00:00"/>
    <m/>
    <x v="0"/>
  </r>
  <r>
    <n v="1534"/>
    <n v="35"/>
    <s v="Female"/>
    <x v="1"/>
    <s v="Specialist"/>
    <s v="Omar Khalid"/>
    <n v="86033"/>
    <n v="24"/>
    <n v="31"/>
    <x v="5"/>
    <n v="3"/>
    <d v="2016-10-04T00:00:00"/>
    <d v="2017-03-03T00:00:00"/>
    <x v="1"/>
  </r>
  <r>
    <n v="1535"/>
    <n v="43"/>
    <s v="Male"/>
    <x v="1"/>
    <s v="Associate"/>
    <s v="Fatima Noor"/>
    <n v="85500"/>
    <n v="19"/>
    <n v="52"/>
    <x v="4"/>
    <n v="7"/>
    <d v="2019-11-18T00:00:00"/>
    <m/>
    <x v="0"/>
  </r>
  <r>
    <n v="1536"/>
    <n v="55"/>
    <s v="Female"/>
    <x v="5"/>
    <s v="Specialist"/>
    <s v="Sarah Lee"/>
    <n v="87505"/>
    <n v="4"/>
    <n v="49"/>
    <x v="4"/>
    <n v="3"/>
    <d v="2017-02-09T00:00:00"/>
    <d v="2021-03-14T00:00:00"/>
    <x v="1"/>
  </r>
  <r>
    <n v="1537"/>
    <n v="37"/>
    <s v="Female"/>
    <x v="3"/>
    <s v="Associate"/>
    <s v="Ahmad Hassan"/>
    <n v="76113"/>
    <n v="2"/>
    <n v="39"/>
    <x v="5"/>
    <n v="9"/>
    <d v="2024-09-23T00:00:00"/>
    <d v="2017-05-24T00:00:00"/>
    <x v="1"/>
  </r>
  <r>
    <n v="1538"/>
    <n v="39"/>
    <s v="Male"/>
    <x v="1"/>
    <s v="Manager"/>
    <s v="Fatima Noor"/>
    <n v="98337"/>
    <n v="19"/>
    <n v="46"/>
    <x v="5"/>
    <n v="3"/>
    <d v="2019-02-04T00:00:00"/>
    <m/>
    <x v="0"/>
  </r>
  <r>
    <n v="1539"/>
    <n v="39"/>
    <s v="Male"/>
    <x v="5"/>
    <s v="Associate"/>
    <s v="John Carter"/>
    <n v="77510"/>
    <n v="3"/>
    <n v="48"/>
    <x v="5"/>
    <n v="9"/>
    <d v="2021-12-27T00:00:00"/>
    <m/>
    <x v="0"/>
  </r>
  <r>
    <n v="1540"/>
    <n v="57"/>
    <s v="Female"/>
    <x v="2"/>
    <s v="Associate"/>
    <s v="Fatima Noor"/>
    <n v="108446"/>
    <n v="28"/>
    <n v="58"/>
    <x v="1"/>
    <n v="8"/>
    <d v="2023-07-14T00:00:00"/>
    <m/>
    <x v="0"/>
  </r>
  <r>
    <n v="1541"/>
    <n v="26"/>
    <s v="Male"/>
    <x v="1"/>
    <s v="Manager"/>
    <s v="Fatima Noor"/>
    <n v="60333"/>
    <n v="2"/>
    <n v="19"/>
    <x v="4"/>
    <n v="10"/>
    <d v="2022-05-07T00:00:00"/>
    <m/>
    <x v="0"/>
  </r>
  <r>
    <n v="1542"/>
    <n v="39"/>
    <s v="Male"/>
    <x v="0"/>
    <s v="Specialist"/>
    <s v="Omar Khalid"/>
    <n v="78043"/>
    <n v="30"/>
    <n v="57"/>
    <x v="3"/>
    <n v="5"/>
    <d v="2023-07-23T00:00:00"/>
    <m/>
    <x v="0"/>
  </r>
  <r>
    <n v="1543"/>
    <n v="36"/>
    <s v="Male"/>
    <x v="5"/>
    <s v="Senior Analyst"/>
    <s v="David Miller"/>
    <n v="71428"/>
    <n v="22"/>
    <n v="31"/>
    <x v="3"/>
    <n v="2"/>
    <d v="2015-02-10T00:00:00"/>
    <m/>
    <x v="0"/>
  </r>
  <r>
    <n v="1544"/>
    <n v="57"/>
    <s v="Male"/>
    <x v="4"/>
    <s v="Manager"/>
    <s v="David Miller"/>
    <n v="109189"/>
    <n v="2"/>
    <n v="31"/>
    <x v="5"/>
    <n v="1"/>
    <d v="2018-10-21T00:00:00"/>
    <m/>
    <x v="0"/>
  </r>
  <r>
    <n v="1545"/>
    <n v="30"/>
    <s v="Female"/>
    <x v="5"/>
    <s v="Specialist"/>
    <s v="Omar Khalid"/>
    <n v="108628"/>
    <n v="23"/>
    <n v="29"/>
    <x v="5"/>
    <n v="6"/>
    <d v="2019-05-05T00:00:00"/>
    <m/>
    <x v="0"/>
  </r>
  <r>
    <n v="1546"/>
    <n v="30"/>
    <s v="Male"/>
    <x v="3"/>
    <s v="Manager"/>
    <s v="Omar Khalid"/>
    <n v="74724"/>
    <n v="26"/>
    <n v="33"/>
    <x v="1"/>
    <n v="3"/>
    <d v="2024-11-09T00:00:00"/>
    <m/>
    <x v="0"/>
  </r>
  <r>
    <n v="1547"/>
    <n v="51"/>
    <s v="Female"/>
    <x v="5"/>
    <s v="Specialist"/>
    <s v="Ahmad Hassan"/>
    <n v="45840"/>
    <n v="12"/>
    <n v="9"/>
    <x v="2"/>
    <n v="7"/>
    <d v="2020-03-21T00:00:00"/>
    <m/>
    <x v="0"/>
  </r>
  <r>
    <n v="1548"/>
    <n v="36"/>
    <s v="Female"/>
    <x v="5"/>
    <s v="Senior Analyst"/>
    <s v="John Carter"/>
    <n v="56044"/>
    <n v="8"/>
    <n v="14"/>
    <x v="5"/>
    <n v="1"/>
    <d v="2024-03-15T00:00:00"/>
    <m/>
    <x v="0"/>
  </r>
  <r>
    <n v="1549"/>
    <n v="28"/>
    <s v="Male"/>
    <x v="4"/>
    <s v="Associate"/>
    <s v="Fatima Noor"/>
    <n v="76409"/>
    <n v="23"/>
    <n v="0"/>
    <x v="4"/>
    <n v="4"/>
    <d v="2023-02-18T00:00:00"/>
    <d v="2019-07-25T00:00:00"/>
    <x v="1"/>
  </r>
  <r>
    <n v="1550"/>
    <n v="27"/>
    <s v="Female"/>
    <x v="2"/>
    <s v="Senior Analyst"/>
    <s v="John Carter"/>
    <n v="88004"/>
    <n v="25"/>
    <n v="18"/>
    <x v="5"/>
    <n v="5"/>
    <d v="2019-12-08T00:00:00"/>
    <d v="2021-07-22T00:00:00"/>
    <x v="1"/>
  </r>
  <r>
    <n v="1551"/>
    <n v="58"/>
    <s v="Female"/>
    <x v="2"/>
    <s v="Analyst"/>
    <s v="John Carter"/>
    <n v="95121"/>
    <n v="15"/>
    <n v="54"/>
    <x v="4"/>
    <n v="2"/>
    <d v="2019-04-09T00:00:00"/>
    <d v="2017-03-26T00:00:00"/>
    <x v="1"/>
  </r>
  <r>
    <n v="1552"/>
    <n v="57"/>
    <s v="Female"/>
    <x v="2"/>
    <s v="Associate"/>
    <s v="Omar Khalid"/>
    <n v="53805"/>
    <n v="28"/>
    <n v="32"/>
    <x v="4"/>
    <n v="2"/>
    <d v="2024-11-02T00:00:00"/>
    <m/>
    <x v="0"/>
  </r>
  <r>
    <n v="1553"/>
    <n v="57"/>
    <s v="Female"/>
    <x v="3"/>
    <s v="Manager"/>
    <s v="Ahmad Hassan"/>
    <n v="106418"/>
    <n v="3"/>
    <n v="39"/>
    <x v="4"/>
    <n v="4"/>
    <d v="2023-06-07T00:00:00"/>
    <d v="2024-04-15T00:00:00"/>
    <x v="1"/>
  </r>
  <r>
    <n v="1554"/>
    <n v="40"/>
    <s v="Female"/>
    <x v="5"/>
    <s v="Associate"/>
    <s v="Fatima Noor"/>
    <n v="85837"/>
    <n v="24"/>
    <n v="41"/>
    <x v="3"/>
    <n v="10"/>
    <d v="2024-10-26T00:00:00"/>
    <m/>
    <x v="0"/>
  </r>
  <r>
    <n v="1555"/>
    <n v="43"/>
    <s v="Female"/>
    <x v="2"/>
    <s v="Senior Analyst"/>
    <s v="Ahmad Hassan"/>
    <n v="85178"/>
    <n v="7"/>
    <n v="33"/>
    <x v="1"/>
    <n v="10"/>
    <d v="2016-03-15T00:00:00"/>
    <d v="2019-01-28T00:00:00"/>
    <x v="1"/>
  </r>
  <r>
    <n v="1556"/>
    <n v="46"/>
    <s v="Female"/>
    <x v="1"/>
    <s v="Manager"/>
    <s v="David Miller"/>
    <n v="66648"/>
    <n v="28"/>
    <n v="39"/>
    <x v="1"/>
    <n v="5"/>
    <d v="2017-08-13T00:00:00"/>
    <m/>
    <x v="0"/>
  </r>
  <r>
    <n v="1557"/>
    <n v="36"/>
    <s v="Male"/>
    <x v="3"/>
    <s v="Analyst"/>
    <s v="Fatima Noor"/>
    <n v="74299"/>
    <n v="8"/>
    <n v="10"/>
    <x v="2"/>
    <n v="1"/>
    <d v="2017-10-25T00:00:00"/>
    <m/>
    <x v="0"/>
  </r>
  <r>
    <n v="1558"/>
    <n v="34"/>
    <s v="Male"/>
    <x v="1"/>
    <s v="Manager"/>
    <s v="Fatima Noor"/>
    <n v="83739"/>
    <n v="15"/>
    <n v="57"/>
    <x v="1"/>
    <n v="7"/>
    <d v="2023-10-05T00:00:00"/>
    <m/>
    <x v="0"/>
  </r>
  <r>
    <n v="1559"/>
    <n v="57"/>
    <s v="Male"/>
    <x v="3"/>
    <s v="Associate"/>
    <s v="Omar Khalid"/>
    <n v="68986"/>
    <n v="3"/>
    <n v="19"/>
    <x v="4"/>
    <n v="9"/>
    <d v="2015-07-23T00:00:00"/>
    <m/>
    <x v="0"/>
  </r>
  <r>
    <n v="1560"/>
    <n v="60"/>
    <s v="Female"/>
    <x v="2"/>
    <s v="Specialist"/>
    <s v="John Carter"/>
    <n v="77322"/>
    <n v="6"/>
    <n v="7"/>
    <x v="0"/>
    <n v="8"/>
    <d v="2018-05-03T00:00:00"/>
    <m/>
    <x v="0"/>
  </r>
  <r>
    <n v="1561"/>
    <n v="33"/>
    <s v="Female"/>
    <x v="3"/>
    <s v="Specialist"/>
    <s v="Fatima Noor"/>
    <n v="64041"/>
    <n v="24"/>
    <n v="60"/>
    <x v="2"/>
    <n v="4"/>
    <d v="2022-08-06T00:00:00"/>
    <m/>
    <x v="0"/>
  </r>
  <r>
    <n v="1562"/>
    <n v="21"/>
    <s v="Male"/>
    <x v="0"/>
    <s v="Senior Analyst"/>
    <s v="John Carter"/>
    <n v="48817"/>
    <n v="5"/>
    <n v="49"/>
    <x v="0"/>
    <n v="5"/>
    <d v="2020-04-15T00:00:00"/>
    <d v="2021-02-24T00:00:00"/>
    <x v="1"/>
  </r>
  <r>
    <n v="1563"/>
    <n v="21"/>
    <s v="Female"/>
    <x v="0"/>
    <s v="Senior Analyst"/>
    <s v="Ahmad Hassan"/>
    <n v="74551"/>
    <n v="20"/>
    <n v="51"/>
    <x v="5"/>
    <n v="10"/>
    <d v="2017-02-13T00:00:00"/>
    <m/>
    <x v="0"/>
  </r>
  <r>
    <n v="1564"/>
    <n v="32"/>
    <s v="Female"/>
    <x v="2"/>
    <s v="Specialist"/>
    <s v="John Carter"/>
    <n v="46588"/>
    <n v="27"/>
    <n v="56"/>
    <x v="1"/>
    <n v="4"/>
    <d v="2016-09-14T00:00:00"/>
    <m/>
    <x v="0"/>
  </r>
  <r>
    <n v="1565"/>
    <n v="36"/>
    <s v="Female"/>
    <x v="3"/>
    <s v="Analyst"/>
    <s v="Fatima Noor"/>
    <n v="83983"/>
    <n v="22"/>
    <n v="43"/>
    <x v="4"/>
    <n v="7"/>
    <d v="2018-05-13T00:00:00"/>
    <m/>
    <x v="0"/>
  </r>
  <r>
    <n v="1566"/>
    <n v="30"/>
    <s v="Female"/>
    <x v="2"/>
    <s v="Analyst"/>
    <s v="Emily Brown"/>
    <n v="59067"/>
    <n v="2"/>
    <n v="21"/>
    <x v="3"/>
    <n v="3"/>
    <d v="2015-10-15T00:00:00"/>
    <m/>
    <x v="0"/>
  </r>
  <r>
    <n v="1567"/>
    <n v="44"/>
    <s v="Male"/>
    <x v="2"/>
    <s v="Manager"/>
    <s v="Fatima Noor"/>
    <n v="103788"/>
    <n v="19"/>
    <n v="22"/>
    <x v="1"/>
    <n v="7"/>
    <d v="2024-07-05T00:00:00"/>
    <d v="2024-03-22T00:00:00"/>
    <x v="1"/>
  </r>
  <r>
    <n v="1568"/>
    <n v="56"/>
    <s v="Male"/>
    <x v="2"/>
    <s v="Associate"/>
    <s v="John Carter"/>
    <n v="57409"/>
    <n v="23"/>
    <n v="46"/>
    <x v="4"/>
    <n v="10"/>
    <d v="2015-02-18T00:00:00"/>
    <m/>
    <x v="0"/>
  </r>
  <r>
    <n v="1569"/>
    <n v="53"/>
    <s v="Female"/>
    <x v="2"/>
    <s v="Specialist"/>
    <s v="John Carter"/>
    <n v="53139"/>
    <n v="14"/>
    <n v="25"/>
    <x v="0"/>
    <n v="8"/>
    <d v="2020-01-17T00:00:00"/>
    <m/>
    <x v="0"/>
  </r>
  <r>
    <n v="1570"/>
    <n v="52"/>
    <s v="Male"/>
    <x v="1"/>
    <s v="Associate"/>
    <s v="David Miller"/>
    <n v="46044"/>
    <n v="7"/>
    <n v="21"/>
    <x v="2"/>
    <n v="3"/>
    <d v="2017-01-04T00:00:00"/>
    <m/>
    <x v="0"/>
  </r>
  <r>
    <n v="1571"/>
    <n v="53"/>
    <s v="Male"/>
    <x v="3"/>
    <s v="Associate"/>
    <s v="Ahmad Hassan"/>
    <n v="49378"/>
    <n v="13"/>
    <n v="40"/>
    <x v="4"/>
    <n v="6"/>
    <d v="2021-06-14T00:00:00"/>
    <m/>
    <x v="0"/>
  </r>
  <r>
    <n v="1572"/>
    <n v="28"/>
    <s v="Female"/>
    <x v="0"/>
    <s v="Specialist"/>
    <s v="David Miller"/>
    <n v="99582"/>
    <n v="20"/>
    <n v="8"/>
    <x v="2"/>
    <n v="2"/>
    <d v="2016-10-13T00:00:00"/>
    <m/>
    <x v="0"/>
  </r>
  <r>
    <n v="1573"/>
    <n v="51"/>
    <s v="Female"/>
    <x v="5"/>
    <s v="Manager"/>
    <s v="John Carter"/>
    <n v="102164"/>
    <n v="5"/>
    <n v="2"/>
    <x v="1"/>
    <n v="10"/>
    <d v="2016-07-14T00:00:00"/>
    <m/>
    <x v="0"/>
  </r>
  <r>
    <n v="1574"/>
    <n v="28"/>
    <s v="Male"/>
    <x v="5"/>
    <s v="Analyst"/>
    <s v="Fatima Noor"/>
    <n v="56915"/>
    <n v="30"/>
    <n v="19"/>
    <x v="4"/>
    <n v="5"/>
    <d v="2021-10-11T00:00:00"/>
    <m/>
    <x v="0"/>
  </r>
  <r>
    <n v="1575"/>
    <n v="43"/>
    <s v="Female"/>
    <x v="5"/>
    <s v="Analyst"/>
    <s v="Omar Khalid"/>
    <n v="79846"/>
    <n v="5"/>
    <n v="56"/>
    <x v="3"/>
    <n v="7"/>
    <d v="2022-07-26T00:00:00"/>
    <d v="2016-12-07T00:00:00"/>
    <x v="1"/>
  </r>
  <r>
    <n v="1576"/>
    <n v="23"/>
    <s v="Male"/>
    <x v="5"/>
    <s v="Specialist"/>
    <s v="Sarah Lee"/>
    <n v="91459"/>
    <n v="3"/>
    <n v="13"/>
    <x v="1"/>
    <n v="10"/>
    <d v="2018-08-04T00:00:00"/>
    <d v="2019-09-10T00:00:00"/>
    <x v="1"/>
  </r>
  <r>
    <n v="1577"/>
    <n v="26"/>
    <s v="Male"/>
    <x v="4"/>
    <s v="Analyst"/>
    <s v="Fatima Noor"/>
    <n v="52336"/>
    <n v="23"/>
    <n v="34"/>
    <x v="2"/>
    <n v="10"/>
    <d v="2015-05-02T00:00:00"/>
    <m/>
    <x v="0"/>
  </r>
  <r>
    <n v="1578"/>
    <n v="48"/>
    <s v="Female"/>
    <x v="5"/>
    <s v="Manager"/>
    <s v="Emily Brown"/>
    <n v="91325"/>
    <n v="18"/>
    <n v="18"/>
    <x v="2"/>
    <n v="6"/>
    <d v="2024-09-14T00:00:00"/>
    <d v="2016-10-23T00:00:00"/>
    <x v="1"/>
  </r>
  <r>
    <n v="1579"/>
    <n v="24"/>
    <s v="Female"/>
    <x v="0"/>
    <s v="Specialist"/>
    <s v="David Miller"/>
    <n v="104302"/>
    <n v="22"/>
    <n v="9"/>
    <x v="0"/>
    <n v="5"/>
    <d v="2024-08-27T00:00:00"/>
    <m/>
    <x v="0"/>
  </r>
  <r>
    <n v="1580"/>
    <n v="51"/>
    <s v="Female"/>
    <x v="2"/>
    <s v="Manager"/>
    <s v="Fatima Noor"/>
    <n v="51373"/>
    <n v="20"/>
    <n v="7"/>
    <x v="5"/>
    <n v="5"/>
    <d v="2019-11-18T00:00:00"/>
    <m/>
    <x v="0"/>
  </r>
  <r>
    <n v="1581"/>
    <n v="44"/>
    <s v="Male"/>
    <x v="3"/>
    <s v="Specialist"/>
    <s v="Sarah Lee"/>
    <n v="64786"/>
    <n v="22"/>
    <n v="30"/>
    <x v="4"/>
    <n v="9"/>
    <d v="2015-02-07T00:00:00"/>
    <m/>
    <x v="0"/>
  </r>
  <r>
    <n v="1582"/>
    <n v="58"/>
    <s v="Male"/>
    <x v="5"/>
    <s v="Associate"/>
    <s v="Emily Brown"/>
    <n v="97744"/>
    <n v="6"/>
    <n v="42"/>
    <x v="5"/>
    <n v="10"/>
    <d v="2023-07-02T00:00:00"/>
    <d v="2022-04-10T00:00:00"/>
    <x v="1"/>
  </r>
  <r>
    <n v="1583"/>
    <n v="33"/>
    <s v="Female"/>
    <x v="4"/>
    <s v="Manager"/>
    <s v="Sarah Lee"/>
    <n v="86168"/>
    <n v="27"/>
    <n v="24"/>
    <x v="5"/>
    <n v="2"/>
    <d v="2021-09-18T00:00:00"/>
    <m/>
    <x v="0"/>
  </r>
  <r>
    <n v="1584"/>
    <n v="21"/>
    <s v="Male"/>
    <x v="5"/>
    <s v="Specialist"/>
    <s v="Sarah Lee"/>
    <n v="97104"/>
    <n v="27"/>
    <n v="20"/>
    <x v="2"/>
    <n v="2"/>
    <d v="2019-12-13T00:00:00"/>
    <m/>
    <x v="0"/>
  </r>
  <r>
    <n v="1585"/>
    <n v="47"/>
    <s v="Male"/>
    <x v="5"/>
    <s v="Manager"/>
    <s v="Sarah Lee"/>
    <n v="86661"/>
    <n v="22"/>
    <n v="35"/>
    <x v="3"/>
    <n v="4"/>
    <d v="2020-09-06T00:00:00"/>
    <m/>
    <x v="0"/>
  </r>
  <r>
    <n v="1586"/>
    <n v="51"/>
    <s v="Male"/>
    <x v="4"/>
    <s v="Specialist"/>
    <s v="John Carter"/>
    <n v="78572"/>
    <n v="13"/>
    <n v="5"/>
    <x v="1"/>
    <n v="5"/>
    <d v="2024-10-21T00:00:00"/>
    <m/>
    <x v="0"/>
  </r>
  <r>
    <n v="1587"/>
    <n v="42"/>
    <s v="Female"/>
    <x v="0"/>
    <s v="Senior Analyst"/>
    <s v="Omar Khalid"/>
    <n v="73449"/>
    <n v="10"/>
    <n v="0"/>
    <x v="4"/>
    <n v="10"/>
    <d v="2017-06-21T00:00:00"/>
    <m/>
    <x v="0"/>
  </r>
  <r>
    <n v="1588"/>
    <n v="39"/>
    <s v="Female"/>
    <x v="4"/>
    <s v="Senior Analyst"/>
    <s v="Fatima Noor"/>
    <n v="54450"/>
    <n v="28"/>
    <n v="9"/>
    <x v="0"/>
    <n v="3"/>
    <d v="2022-11-17T00:00:00"/>
    <m/>
    <x v="0"/>
  </r>
  <r>
    <n v="1589"/>
    <n v="49"/>
    <s v="Male"/>
    <x v="3"/>
    <s v="Specialist"/>
    <s v="Sarah Lee"/>
    <n v="67337"/>
    <n v="13"/>
    <n v="50"/>
    <x v="5"/>
    <n v="3"/>
    <d v="2018-05-06T00:00:00"/>
    <d v="2023-04-26T00:00:00"/>
    <x v="1"/>
  </r>
  <r>
    <n v="1590"/>
    <n v="21"/>
    <s v="Male"/>
    <x v="2"/>
    <s v="Specialist"/>
    <s v="Ahmad Hassan"/>
    <n v="89076"/>
    <n v="12"/>
    <n v="10"/>
    <x v="1"/>
    <n v="6"/>
    <d v="2022-07-10T00:00:00"/>
    <m/>
    <x v="0"/>
  </r>
  <r>
    <n v="1591"/>
    <n v="42"/>
    <s v="Male"/>
    <x v="0"/>
    <s v="Associate"/>
    <s v="Fatima Noor"/>
    <n v="96481"/>
    <n v="23"/>
    <n v="8"/>
    <x v="1"/>
    <n v="5"/>
    <d v="2022-07-19T00:00:00"/>
    <m/>
    <x v="0"/>
  </r>
  <r>
    <n v="1592"/>
    <n v="47"/>
    <s v="Female"/>
    <x v="1"/>
    <s v="Associate"/>
    <s v="John Carter"/>
    <n v="76307"/>
    <n v="26"/>
    <n v="32"/>
    <x v="3"/>
    <n v="4"/>
    <d v="2016-07-21T00:00:00"/>
    <m/>
    <x v="0"/>
  </r>
  <r>
    <n v="1593"/>
    <n v="33"/>
    <s v="Male"/>
    <x v="5"/>
    <s v="Senior Analyst"/>
    <s v="Sarah Lee"/>
    <n v="92148"/>
    <n v="13"/>
    <n v="42"/>
    <x v="3"/>
    <n v="7"/>
    <d v="2024-02-26T00:00:00"/>
    <m/>
    <x v="0"/>
  </r>
  <r>
    <n v="1594"/>
    <n v="26"/>
    <s v="Male"/>
    <x v="5"/>
    <s v="Associate"/>
    <s v="John Carter"/>
    <n v="55389"/>
    <n v="3"/>
    <n v="29"/>
    <x v="2"/>
    <n v="9"/>
    <d v="2016-01-11T00:00:00"/>
    <m/>
    <x v="0"/>
  </r>
  <r>
    <n v="1595"/>
    <n v="29"/>
    <s v="Female"/>
    <x v="3"/>
    <s v="Manager"/>
    <s v="Sarah Lee"/>
    <n v="49838"/>
    <n v="0"/>
    <n v="37"/>
    <x v="5"/>
    <n v="7"/>
    <d v="2017-02-06T00:00:00"/>
    <d v="2017-01-24T00:00:00"/>
    <x v="1"/>
  </r>
  <r>
    <n v="1596"/>
    <n v="36"/>
    <s v="Female"/>
    <x v="2"/>
    <s v="Specialist"/>
    <s v="John Carter"/>
    <n v="82452"/>
    <n v="24"/>
    <n v="18"/>
    <x v="2"/>
    <n v="3"/>
    <d v="2016-08-06T00:00:00"/>
    <m/>
    <x v="0"/>
  </r>
  <r>
    <n v="1597"/>
    <n v="44"/>
    <s v="Male"/>
    <x v="0"/>
    <s v="Specialist"/>
    <s v="Sarah Lee"/>
    <n v="107047"/>
    <n v="21"/>
    <n v="33"/>
    <x v="2"/>
    <n v="3"/>
    <d v="2017-06-17T00:00:00"/>
    <m/>
    <x v="0"/>
  </r>
  <r>
    <n v="1598"/>
    <n v="38"/>
    <s v="Male"/>
    <x v="3"/>
    <s v="Senior Analyst"/>
    <s v="Fatima Noor"/>
    <n v="81015"/>
    <n v="4"/>
    <n v="5"/>
    <x v="4"/>
    <n v="3"/>
    <d v="2020-03-20T00:00:00"/>
    <m/>
    <x v="0"/>
  </r>
  <r>
    <n v="1599"/>
    <n v="43"/>
    <s v="Female"/>
    <x v="5"/>
    <s v="Specialist"/>
    <s v="David Miller"/>
    <n v="68671"/>
    <n v="12"/>
    <n v="35"/>
    <x v="3"/>
    <n v="3"/>
    <d v="2018-04-20T00:00:00"/>
    <d v="2017-08-19T00:00:00"/>
    <x v="1"/>
  </r>
  <r>
    <n v="1600"/>
    <n v="51"/>
    <s v="Female"/>
    <x v="0"/>
    <s v="Manager"/>
    <s v="Ahmad Hassan"/>
    <n v="102539"/>
    <n v="22"/>
    <n v="30"/>
    <x v="2"/>
    <n v="8"/>
    <d v="2015-02-27T00:00:00"/>
    <d v="2021-04-09T00:00:00"/>
    <x v="1"/>
  </r>
  <r>
    <n v="1601"/>
    <n v="59"/>
    <s v="Male"/>
    <x v="2"/>
    <s v="Associate"/>
    <s v="David Miller"/>
    <n v="59731"/>
    <n v="1"/>
    <n v="40"/>
    <x v="2"/>
    <n v="3"/>
    <d v="2023-07-13T00:00:00"/>
    <m/>
    <x v="0"/>
  </r>
  <r>
    <n v="1602"/>
    <n v="34"/>
    <s v="Female"/>
    <x v="5"/>
    <s v="Senior Analyst"/>
    <s v="Emily Brown"/>
    <n v="55659"/>
    <n v="24"/>
    <n v="29"/>
    <x v="1"/>
    <n v="3"/>
    <d v="2017-11-16T00:00:00"/>
    <d v="2020-08-22T00:00:00"/>
    <x v="1"/>
  </r>
  <r>
    <n v="1603"/>
    <n v="49"/>
    <s v="Male"/>
    <x v="0"/>
    <s v="Specialist"/>
    <s v="John Carter"/>
    <n v="58032"/>
    <n v="21"/>
    <n v="43"/>
    <x v="1"/>
    <n v="9"/>
    <d v="2024-06-02T00:00:00"/>
    <m/>
    <x v="0"/>
  </r>
  <r>
    <n v="1604"/>
    <n v="55"/>
    <s v="Female"/>
    <x v="0"/>
    <s v="Specialist"/>
    <s v="David Miller"/>
    <n v="70543"/>
    <n v="30"/>
    <n v="4"/>
    <x v="3"/>
    <n v="6"/>
    <d v="2021-02-12T00:00:00"/>
    <m/>
    <x v="0"/>
  </r>
  <r>
    <n v="1605"/>
    <n v="45"/>
    <s v="Male"/>
    <x v="2"/>
    <s v="Manager"/>
    <s v="Omar Khalid"/>
    <n v="60165"/>
    <n v="10"/>
    <n v="50"/>
    <x v="1"/>
    <n v="10"/>
    <d v="2021-11-13T00:00:00"/>
    <m/>
    <x v="0"/>
  </r>
  <r>
    <n v="1606"/>
    <n v="46"/>
    <s v="Female"/>
    <x v="5"/>
    <s v="Associate"/>
    <s v="Sarah Lee"/>
    <n v="103723"/>
    <n v="3"/>
    <n v="30"/>
    <x v="3"/>
    <n v="5"/>
    <d v="2020-08-05T00:00:00"/>
    <m/>
    <x v="0"/>
  </r>
  <r>
    <n v="1607"/>
    <n v="22"/>
    <s v="Female"/>
    <x v="0"/>
    <s v="Associate"/>
    <s v="Sarah Lee"/>
    <n v="79404"/>
    <n v="8"/>
    <n v="7"/>
    <x v="0"/>
    <n v="9"/>
    <d v="2020-08-11T00:00:00"/>
    <m/>
    <x v="0"/>
  </r>
  <r>
    <n v="1608"/>
    <n v="26"/>
    <s v="Female"/>
    <x v="2"/>
    <s v="Senior Analyst"/>
    <s v="Ahmad Hassan"/>
    <n v="89893"/>
    <n v="21"/>
    <n v="41"/>
    <x v="4"/>
    <n v="10"/>
    <d v="2021-12-20T00:00:00"/>
    <m/>
    <x v="0"/>
  </r>
  <r>
    <n v="1609"/>
    <n v="34"/>
    <s v="Female"/>
    <x v="2"/>
    <s v="Analyst"/>
    <s v="Fatima Noor"/>
    <n v="59158"/>
    <n v="15"/>
    <n v="18"/>
    <x v="0"/>
    <n v="7"/>
    <d v="2022-05-17T00:00:00"/>
    <d v="2023-04-05T00:00:00"/>
    <x v="1"/>
  </r>
  <r>
    <n v="1610"/>
    <n v="22"/>
    <s v="Female"/>
    <x v="4"/>
    <s v="Manager"/>
    <s v="John Carter"/>
    <n v="61840"/>
    <n v="22"/>
    <n v="3"/>
    <x v="1"/>
    <n v="1"/>
    <d v="2021-04-04T00:00:00"/>
    <m/>
    <x v="0"/>
  </r>
  <r>
    <n v="1611"/>
    <n v="38"/>
    <s v="Female"/>
    <x v="3"/>
    <s v="Analyst"/>
    <s v="Sarah Lee"/>
    <n v="60119"/>
    <n v="0"/>
    <n v="60"/>
    <x v="2"/>
    <n v="2"/>
    <d v="2015-06-22T00:00:00"/>
    <m/>
    <x v="0"/>
  </r>
  <r>
    <n v="1612"/>
    <n v="29"/>
    <s v="Female"/>
    <x v="0"/>
    <s v="Specialist"/>
    <s v="Sarah Lee"/>
    <n v="56580"/>
    <n v="16"/>
    <n v="2"/>
    <x v="2"/>
    <n v="6"/>
    <d v="2023-12-11T00:00:00"/>
    <d v="2021-06-27T00:00:00"/>
    <x v="1"/>
  </r>
  <r>
    <n v="1613"/>
    <n v="44"/>
    <s v="Female"/>
    <x v="2"/>
    <s v="Analyst"/>
    <s v="Ahmad Hassan"/>
    <n v="65433"/>
    <n v="29"/>
    <n v="41"/>
    <x v="3"/>
    <n v="1"/>
    <d v="2018-01-16T00:00:00"/>
    <m/>
    <x v="0"/>
  </r>
  <r>
    <n v="1614"/>
    <n v="58"/>
    <s v="Male"/>
    <x v="0"/>
    <s v="Associate"/>
    <s v="John Carter"/>
    <n v="107042"/>
    <n v="16"/>
    <n v="25"/>
    <x v="4"/>
    <n v="1"/>
    <d v="2015-03-08T00:00:00"/>
    <d v="2017-01-13T00:00:00"/>
    <x v="1"/>
  </r>
  <r>
    <n v="1615"/>
    <n v="51"/>
    <s v="Female"/>
    <x v="3"/>
    <s v="Senior Analyst"/>
    <s v="Emily Brown"/>
    <n v="94740"/>
    <n v="27"/>
    <n v="20"/>
    <x v="2"/>
    <n v="9"/>
    <d v="2020-01-21T00:00:00"/>
    <m/>
    <x v="0"/>
  </r>
  <r>
    <n v="1616"/>
    <n v="52"/>
    <s v="Male"/>
    <x v="4"/>
    <s v="Specialist"/>
    <s v="Ahmad Hassan"/>
    <n v="104188"/>
    <n v="27"/>
    <n v="33"/>
    <x v="2"/>
    <n v="1"/>
    <d v="2022-10-17T00:00:00"/>
    <m/>
    <x v="0"/>
  </r>
  <r>
    <n v="1617"/>
    <n v="28"/>
    <s v="Male"/>
    <x v="0"/>
    <s v="Senior Analyst"/>
    <s v="Ahmad Hassan"/>
    <n v="58641"/>
    <n v="3"/>
    <n v="6"/>
    <x v="3"/>
    <n v="9"/>
    <d v="2016-08-17T00:00:00"/>
    <m/>
    <x v="0"/>
  </r>
  <r>
    <n v="1618"/>
    <n v="43"/>
    <s v="Female"/>
    <x v="3"/>
    <s v="Senior Analyst"/>
    <s v="Ahmad Hassan"/>
    <n v="92855"/>
    <n v="11"/>
    <n v="58"/>
    <x v="3"/>
    <n v="8"/>
    <d v="2020-07-19T00:00:00"/>
    <m/>
    <x v="0"/>
  </r>
  <r>
    <n v="1619"/>
    <n v="57"/>
    <s v="Female"/>
    <x v="5"/>
    <s v="Manager"/>
    <s v="Ahmad Hassan"/>
    <n v="69123"/>
    <n v="1"/>
    <n v="13"/>
    <x v="3"/>
    <n v="5"/>
    <d v="2021-12-24T00:00:00"/>
    <d v="2022-02-28T00:00:00"/>
    <x v="1"/>
  </r>
  <r>
    <n v="1620"/>
    <n v="25"/>
    <s v="Female"/>
    <x v="5"/>
    <s v="Senior Analyst"/>
    <s v="Omar Khalid"/>
    <n v="102414"/>
    <n v="26"/>
    <n v="19"/>
    <x v="1"/>
    <n v="10"/>
    <d v="2016-05-08T00:00:00"/>
    <m/>
    <x v="0"/>
  </r>
  <r>
    <n v="1621"/>
    <n v="21"/>
    <s v="Female"/>
    <x v="4"/>
    <s v="Manager"/>
    <s v="John Carter"/>
    <n v="70103"/>
    <n v="24"/>
    <n v="8"/>
    <x v="5"/>
    <n v="6"/>
    <d v="2024-10-27T00:00:00"/>
    <m/>
    <x v="0"/>
  </r>
  <r>
    <n v="1622"/>
    <n v="52"/>
    <s v="Female"/>
    <x v="2"/>
    <s v="Manager"/>
    <s v="John Carter"/>
    <n v="85228"/>
    <n v="16"/>
    <n v="40"/>
    <x v="4"/>
    <n v="6"/>
    <d v="2016-10-27T00:00:00"/>
    <m/>
    <x v="0"/>
  </r>
  <r>
    <n v="1623"/>
    <n v="44"/>
    <s v="Female"/>
    <x v="0"/>
    <s v="Analyst"/>
    <s v="Omar Khalid"/>
    <n v="89012"/>
    <n v="29"/>
    <n v="56"/>
    <x v="4"/>
    <n v="2"/>
    <d v="2022-07-11T00:00:00"/>
    <m/>
    <x v="0"/>
  </r>
  <r>
    <n v="1624"/>
    <n v="35"/>
    <s v="Male"/>
    <x v="3"/>
    <s v="Associate"/>
    <s v="David Miller"/>
    <n v="61826"/>
    <n v="1"/>
    <n v="51"/>
    <x v="2"/>
    <n v="10"/>
    <d v="2018-04-28T00:00:00"/>
    <m/>
    <x v="0"/>
  </r>
  <r>
    <n v="1625"/>
    <n v="27"/>
    <s v="Male"/>
    <x v="5"/>
    <s v="Specialist"/>
    <s v="David Miller"/>
    <n v="90670"/>
    <n v="26"/>
    <n v="24"/>
    <x v="0"/>
    <n v="8"/>
    <d v="2017-04-02T00:00:00"/>
    <d v="2021-10-03T00:00:00"/>
    <x v="1"/>
  </r>
  <r>
    <n v="1626"/>
    <n v="57"/>
    <s v="Female"/>
    <x v="0"/>
    <s v="Manager"/>
    <s v="Sarah Lee"/>
    <n v="71461"/>
    <n v="14"/>
    <n v="59"/>
    <x v="5"/>
    <n v="7"/>
    <d v="2016-07-14T00:00:00"/>
    <d v="2020-02-20T00:00:00"/>
    <x v="1"/>
  </r>
  <r>
    <n v="1627"/>
    <n v="49"/>
    <s v="Male"/>
    <x v="5"/>
    <s v="Manager"/>
    <s v="Ahmad Hassan"/>
    <n v="96764"/>
    <n v="7"/>
    <n v="41"/>
    <x v="5"/>
    <n v="1"/>
    <d v="2022-07-12T00:00:00"/>
    <m/>
    <x v="0"/>
  </r>
  <r>
    <n v="1628"/>
    <n v="48"/>
    <s v="Male"/>
    <x v="1"/>
    <s v="Senior Analyst"/>
    <s v="Sarah Lee"/>
    <n v="51665"/>
    <n v="18"/>
    <n v="12"/>
    <x v="0"/>
    <n v="2"/>
    <d v="2024-06-14T00:00:00"/>
    <m/>
    <x v="0"/>
  </r>
  <r>
    <n v="1629"/>
    <n v="55"/>
    <s v="Male"/>
    <x v="5"/>
    <s v="Analyst"/>
    <s v="David Miller"/>
    <n v="66164"/>
    <n v="23"/>
    <n v="29"/>
    <x v="1"/>
    <n v="6"/>
    <d v="2018-07-26T00:00:00"/>
    <m/>
    <x v="0"/>
  </r>
  <r>
    <n v="1630"/>
    <n v="56"/>
    <s v="Female"/>
    <x v="1"/>
    <s v="Manager"/>
    <s v="Fatima Noor"/>
    <n v="50430"/>
    <n v="17"/>
    <n v="51"/>
    <x v="5"/>
    <n v="8"/>
    <d v="2021-12-08T00:00:00"/>
    <d v="2017-12-12T00:00:00"/>
    <x v="1"/>
  </r>
  <r>
    <n v="1631"/>
    <n v="60"/>
    <s v="Female"/>
    <x v="5"/>
    <s v="Specialist"/>
    <s v="Omar Khalid"/>
    <n v="107714"/>
    <n v="9"/>
    <n v="54"/>
    <x v="5"/>
    <n v="9"/>
    <d v="2021-08-11T00:00:00"/>
    <m/>
    <x v="0"/>
  </r>
  <r>
    <n v="1632"/>
    <n v="59"/>
    <s v="Female"/>
    <x v="2"/>
    <s v="Senior Analyst"/>
    <s v="Omar Khalid"/>
    <n v="57262"/>
    <n v="4"/>
    <n v="39"/>
    <x v="0"/>
    <n v="10"/>
    <d v="2017-07-16T00:00:00"/>
    <m/>
    <x v="0"/>
  </r>
  <r>
    <n v="1633"/>
    <n v="57"/>
    <s v="Male"/>
    <x v="0"/>
    <s v="Specialist"/>
    <s v="Ahmad Hassan"/>
    <n v="79846"/>
    <n v="6"/>
    <n v="39"/>
    <x v="4"/>
    <n v="3"/>
    <d v="2019-01-18T00:00:00"/>
    <m/>
    <x v="0"/>
  </r>
  <r>
    <n v="1634"/>
    <n v="51"/>
    <s v="Male"/>
    <x v="5"/>
    <s v="Analyst"/>
    <s v="John Carter"/>
    <n v="92078"/>
    <n v="5"/>
    <n v="35"/>
    <x v="3"/>
    <n v="7"/>
    <d v="2018-08-11T00:00:00"/>
    <m/>
    <x v="0"/>
  </r>
  <r>
    <n v="1635"/>
    <n v="45"/>
    <s v="Female"/>
    <x v="5"/>
    <s v="Senior Analyst"/>
    <s v="David Miller"/>
    <n v="63563"/>
    <n v="9"/>
    <n v="16"/>
    <x v="3"/>
    <n v="9"/>
    <d v="2024-08-28T00:00:00"/>
    <d v="2018-01-02T00:00:00"/>
    <x v="1"/>
  </r>
  <r>
    <n v="1636"/>
    <n v="22"/>
    <s v="Male"/>
    <x v="1"/>
    <s v="Senior Analyst"/>
    <s v="Ahmad Hassan"/>
    <n v="74379"/>
    <n v="9"/>
    <n v="43"/>
    <x v="4"/>
    <n v="5"/>
    <d v="2018-07-01T00:00:00"/>
    <m/>
    <x v="0"/>
  </r>
  <r>
    <n v="1637"/>
    <n v="57"/>
    <s v="Male"/>
    <x v="2"/>
    <s v="Manager"/>
    <s v="Emily Brown"/>
    <n v="70866"/>
    <n v="0"/>
    <n v="0"/>
    <x v="0"/>
    <n v="5"/>
    <d v="2023-10-07T00:00:00"/>
    <m/>
    <x v="0"/>
  </r>
  <r>
    <n v="1638"/>
    <n v="42"/>
    <s v="Female"/>
    <x v="2"/>
    <s v="Senior Analyst"/>
    <s v="Fatima Noor"/>
    <n v="107042"/>
    <n v="27"/>
    <n v="4"/>
    <x v="1"/>
    <n v="3"/>
    <d v="2020-12-18T00:00:00"/>
    <d v="2017-11-21T00:00:00"/>
    <x v="1"/>
  </r>
  <r>
    <n v="1639"/>
    <n v="27"/>
    <s v="Male"/>
    <x v="1"/>
    <s v="Manager"/>
    <s v="Emily Brown"/>
    <n v="105499"/>
    <n v="26"/>
    <n v="49"/>
    <x v="4"/>
    <n v="7"/>
    <d v="2018-02-02T00:00:00"/>
    <m/>
    <x v="0"/>
  </r>
  <r>
    <n v="1640"/>
    <n v="48"/>
    <s v="Male"/>
    <x v="3"/>
    <s v="Specialist"/>
    <s v="Fatima Noor"/>
    <n v="78053"/>
    <n v="12"/>
    <n v="59"/>
    <x v="5"/>
    <n v="1"/>
    <d v="2016-05-23T00:00:00"/>
    <d v="2019-06-04T00:00:00"/>
    <x v="1"/>
  </r>
  <r>
    <n v="1641"/>
    <n v="32"/>
    <s v="Male"/>
    <x v="1"/>
    <s v="Manager"/>
    <s v="Omar Khalid"/>
    <n v="100801"/>
    <n v="6"/>
    <n v="3"/>
    <x v="1"/>
    <n v="9"/>
    <d v="2023-06-24T00:00:00"/>
    <m/>
    <x v="0"/>
  </r>
  <r>
    <n v="1642"/>
    <n v="47"/>
    <s v="Male"/>
    <x v="1"/>
    <s v="Analyst"/>
    <s v="Omar Khalid"/>
    <n v="89899"/>
    <n v="19"/>
    <n v="15"/>
    <x v="4"/>
    <n v="8"/>
    <d v="2019-08-23T00:00:00"/>
    <d v="2022-05-14T00:00:00"/>
    <x v="1"/>
  </r>
  <r>
    <n v="1643"/>
    <n v="33"/>
    <s v="Female"/>
    <x v="0"/>
    <s v="Specialist"/>
    <s v="Omar Khalid"/>
    <n v="70831"/>
    <n v="24"/>
    <n v="35"/>
    <x v="3"/>
    <n v="3"/>
    <d v="2018-06-19T00:00:00"/>
    <d v="2019-10-22T00:00:00"/>
    <x v="1"/>
  </r>
  <r>
    <n v="1644"/>
    <n v="47"/>
    <s v="Male"/>
    <x v="0"/>
    <s v="Manager"/>
    <s v="Emily Brown"/>
    <n v="103915"/>
    <n v="9"/>
    <n v="1"/>
    <x v="5"/>
    <n v="1"/>
    <d v="2023-08-28T00:00:00"/>
    <d v="2021-07-04T00:00:00"/>
    <x v="1"/>
  </r>
  <r>
    <n v="1645"/>
    <n v="56"/>
    <s v="Male"/>
    <x v="4"/>
    <s v="Specialist"/>
    <s v="Ahmad Hassan"/>
    <n v="91136"/>
    <n v="7"/>
    <n v="46"/>
    <x v="3"/>
    <n v="3"/>
    <d v="2019-01-20T00:00:00"/>
    <m/>
    <x v="0"/>
  </r>
  <r>
    <n v="1646"/>
    <n v="28"/>
    <s v="Male"/>
    <x v="0"/>
    <s v="Specialist"/>
    <s v="Ahmad Hassan"/>
    <n v="68004"/>
    <n v="1"/>
    <n v="56"/>
    <x v="3"/>
    <n v="7"/>
    <d v="2023-08-19T00:00:00"/>
    <m/>
    <x v="0"/>
  </r>
  <r>
    <n v="1647"/>
    <n v="50"/>
    <s v="Male"/>
    <x v="3"/>
    <s v="Specialist"/>
    <s v="Emily Brown"/>
    <n v="106752"/>
    <n v="20"/>
    <n v="44"/>
    <x v="3"/>
    <n v="7"/>
    <d v="2015-12-13T00:00:00"/>
    <m/>
    <x v="0"/>
  </r>
  <r>
    <n v="1648"/>
    <n v="50"/>
    <s v="Female"/>
    <x v="2"/>
    <s v="Analyst"/>
    <s v="Emily Brown"/>
    <n v="94533"/>
    <n v="5"/>
    <n v="59"/>
    <x v="3"/>
    <n v="2"/>
    <d v="2020-06-18T00:00:00"/>
    <m/>
    <x v="0"/>
  </r>
  <r>
    <n v="1649"/>
    <n v="54"/>
    <s v="Male"/>
    <x v="4"/>
    <s v="Manager"/>
    <s v="Emily Brown"/>
    <n v="104348"/>
    <n v="19"/>
    <n v="56"/>
    <x v="4"/>
    <n v="1"/>
    <d v="2019-11-20T00:00:00"/>
    <m/>
    <x v="0"/>
  </r>
  <r>
    <n v="1650"/>
    <n v="25"/>
    <s v="Male"/>
    <x v="2"/>
    <s v="Analyst"/>
    <s v="David Miller"/>
    <n v="81020"/>
    <n v="16"/>
    <n v="37"/>
    <x v="5"/>
    <n v="8"/>
    <d v="2019-04-20T00:00:00"/>
    <d v="2023-05-23T00:00:00"/>
    <x v="1"/>
  </r>
  <r>
    <n v="1651"/>
    <n v="43"/>
    <s v="Male"/>
    <x v="1"/>
    <s v="Associate"/>
    <s v="David Miller"/>
    <n v="45106"/>
    <n v="17"/>
    <n v="25"/>
    <x v="0"/>
    <n v="8"/>
    <d v="2018-07-26T00:00:00"/>
    <m/>
    <x v="0"/>
  </r>
  <r>
    <n v="1652"/>
    <n v="45"/>
    <s v="Female"/>
    <x v="5"/>
    <s v="Specialist"/>
    <s v="David Miller"/>
    <n v="81156"/>
    <n v="1"/>
    <n v="11"/>
    <x v="0"/>
    <n v="10"/>
    <d v="2015-07-07T00:00:00"/>
    <m/>
    <x v="0"/>
  </r>
  <r>
    <n v="1653"/>
    <n v="24"/>
    <s v="Male"/>
    <x v="1"/>
    <s v="Specialist"/>
    <s v="Fatima Noor"/>
    <n v="93249"/>
    <n v="12"/>
    <n v="43"/>
    <x v="0"/>
    <n v="7"/>
    <d v="2015-01-25T00:00:00"/>
    <m/>
    <x v="0"/>
  </r>
  <r>
    <n v="1654"/>
    <n v="59"/>
    <s v="Female"/>
    <x v="4"/>
    <s v="Senior Analyst"/>
    <s v="Emily Brown"/>
    <n v="53869"/>
    <n v="3"/>
    <n v="2"/>
    <x v="2"/>
    <n v="4"/>
    <d v="2023-08-09T00:00:00"/>
    <m/>
    <x v="0"/>
  </r>
  <r>
    <n v="1655"/>
    <n v="28"/>
    <s v="Male"/>
    <x v="5"/>
    <s v="Manager"/>
    <s v="Fatima Noor"/>
    <n v="94735"/>
    <n v="23"/>
    <n v="25"/>
    <x v="2"/>
    <n v="5"/>
    <d v="2017-06-08T00:00:00"/>
    <m/>
    <x v="0"/>
  </r>
  <r>
    <n v="1656"/>
    <n v="50"/>
    <s v="Male"/>
    <x v="2"/>
    <s v="Manager"/>
    <s v="Sarah Lee"/>
    <n v="87633"/>
    <n v="15"/>
    <n v="56"/>
    <x v="1"/>
    <n v="4"/>
    <d v="2022-05-08T00:00:00"/>
    <m/>
    <x v="0"/>
  </r>
  <r>
    <n v="1657"/>
    <n v="37"/>
    <s v="Female"/>
    <x v="5"/>
    <s v="Manager"/>
    <s v="Ahmad Hassan"/>
    <n v="76206"/>
    <n v="13"/>
    <n v="27"/>
    <x v="3"/>
    <n v="10"/>
    <d v="2022-09-17T00:00:00"/>
    <d v="2020-11-19T00:00:00"/>
    <x v="1"/>
  </r>
  <r>
    <n v="1658"/>
    <n v="44"/>
    <s v="Female"/>
    <x v="2"/>
    <s v="Manager"/>
    <s v="David Miller"/>
    <n v="66008"/>
    <n v="24"/>
    <n v="27"/>
    <x v="5"/>
    <n v="9"/>
    <d v="2024-10-11T00:00:00"/>
    <d v="2023-03-06T00:00:00"/>
    <x v="1"/>
  </r>
  <r>
    <n v="1659"/>
    <n v="35"/>
    <s v="Male"/>
    <x v="3"/>
    <s v="Senior Analyst"/>
    <s v="Ahmad Hassan"/>
    <n v="82395"/>
    <n v="30"/>
    <n v="53"/>
    <x v="5"/>
    <n v="8"/>
    <d v="2023-03-05T00:00:00"/>
    <d v="2023-08-24T00:00:00"/>
    <x v="1"/>
  </r>
  <r>
    <n v="1660"/>
    <n v="55"/>
    <s v="Male"/>
    <x v="5"/>
    <s v="Analyst"/>
    <s v="Fatima Noor"/>
    <n v="51032"/>
    <n v="30"/>
    <n v="42"/>
    <x v="3"/>
    <n v="2"/>
    <d v="2021-06-04T00:00:00"/>
    <m/>
    <x v="0"/>
  </r>
  <r>
    <n v="1661"/>
    <n v="58"/>
    <s v="Male"/>
    <x v="1"/>
    <s v="Associate"/>
    <s v="David Miller"/>
    <n v="60661"/>
    <n v="0"/>
    <n v="36"/>
    <x v="5"/>
    <n v="5"/>
    <d v="2015-10-04T00:00:00"/>
    <d v="2023-03-07T00:00:00"/>
    <x v="1"/>
  </r>
  <r>
    <n v="1662"/>
    <n v="23"/>
    <s v="Female"/>
    <x v="3"/>
    <s v="Senior Analyst"/>
    <s v="Emily Brown"/>
    <n v="70679"/>
    <n v="10"/>
    <n v="49"/>
    <x v="0"/>
    <n v="10"/>
    <d v="2020-06-23T00:00:00"/>
    <d v="2024-09-17T00:00:00"/>
    <x v="1"/>
  </r>
  <r>
    <n v="1663"/>
    <n v="41"/>
    <s v="Male"/>
    <x v="2"/>
    <s v="Manager"/>
    <s v="David Miller"/>
    <n v="84660"/>
    <n v="23"/>
    <n v="37"/>
    <x v="0"/>
    <n v="7"/>
    <d v="2017-07-25T00:00:00"/>
    <m/>
    <x v="0"/>
  </r>
  <r>
    <n v="1664"/>
    <n v="59"/>
    <s v="Female"/>
    <x v="2"/>
    <s v="Associate"/>
    <s v="Sarah Lee"/>
    <n v="94833"/>
    <n v="4"/>
    <n v="8"/>
    <x v="5"/>
    <n v="3"/>
    <d v="2021-11-12T00:00:00"/>
    <m/>
    <x v="0"/>
  </r>
  <r>
    <n v="1665"/>
    <n v="60"/>
    <s v="Male"/>
    <x v="2"/>
    <s v="Specialist"/>
    <s v="Fatima Noor"/>
    <n v="60917"/>
    <n v="14"/>
    <n v="51"/>
    <x v="1"/>
    <n v="1"/>
    <d v="2023-07-28T00:00:00"/>
    <m/>
    <x v="0"/>
  </r>
  <r>
    <n v="1666"/>
    <n v="34"/>
    <s v="Male"/>
    <x v="0"/>
    <s v="Senior Analyst"/>
    <s v="Ahmad Hassan"/>
    <n v="101833"/>
    <n v="3"/>
    <n v="10"/>
    <x v="1"/>
    <n v="7"/>
    <d v="2024-05-18T00:00:00"/>
    <m/>
    <x v="0"/>
  </r>
  <r>
    <n v="1667"/>
    <n v="26"/>
    <s v="Female"/>
    <x v="2"/>
    <s v="Specialist"/>
    <s v="Ahmad Hassan"/>
    <n v="68545"/>
    <n v="16"/>
    <n v="40"/>
    <x v="3"/>
    <n v="5"/>
    <d v="2021-09-01T00:00:00"/>
    <m/>
    <x v="0"/>
  </r>
  <r>
    <n v="1668"/>
    <n v="50"/>
    <s v="Female"/>
    <x v="4"/>
    <s v="Manager"/>
    <s v="Emily Brown"/>
    <n v="79326"/>
    <n v="11"/>
    <n v="51"/>
    <x v="0"/>
    <n v="9"/>
    <d v="2019-05-17T00:00:00"/>
    <d v="2022-10-15T00:00:00"/>
    <x v="1"/>
  </r>
  <r>
    <n v="1669"/>
    <n v="23"/>
    <s v="Female"/>
    <x v="0"/>
    <s v="Manager"/>
    <s v="Emily Brown"/>
    <n v="50189"/>
    <n v="15"/>
    <n v="19"/>
    <x v="3"/>
    <n v="3"/>
    <d v="2022-10-11T00:00:00"/>
    <d v="2018-07-24T00:00:00"/>
    <x v="1"/>
  </r>
  <r>
    <n v="1670"/>
    <n v="36"/>
    <s v="Female"/>
    <x v="2"/>
    <s v="Senior Analyst"/>
    <s v="Fatima Noor"/>
    <n v="49177"/>
    <n v="23"/>
    <n v="23"/>
    <x v="4"/>
    <n v="8"/>
    <d v="2018-09-11T00:00:00"/>
    <m/>
    <x v="0"/>
  </r>
  <r>
    <n v="1671"/>
    <n v="31"/>
    <s v="Female"/>
    <x v="0"/>
    <s v="Specialist"/>
    <s v="Ahmad Hassan"/>
    <n v="107148"/>
    <n v="5"/>
    <n v="59"/>
    <x v="0"/>
    <n v="9"/>
    <d v="2018-12-04T00:00:00"/>
    <d v="2023-05-12T00:00:00"/>
    <x v="1"/>
  </r>
  <r>
    <n v="1672"/>
    <n v="38"/>
    <s v="Male"/>
    <x v="5"/>
    <s v="Senior Analyst"/>
    <s v="Omar Khalid"/>
    <n v="57095"/>
    <n v="30"/>
    <n v="13"/>
    <x v="4"/>
    <n v="6"/>
    <d v="2021-05-10T00:00:00"/>
    <d v="2020-10-23T00:00:00"/>
    <x v="1"/>
  </r>
  <r>
    <n v="1673"/>
    <n v="39"/>
    <s v="Male"/>
    <x v="1"/>
    <s v="Senior Analyst"/>
    <s v="Emily Brown"/>
    <n v="49256"/>
    <n v="23"/>
    <n v="30"/>
    <x v="2"/>
    <n v="3"/>
    <d v="2019-09-07T00:00:00"/>
    <m/>
    <x v="0"/>
  </r>
  <r>
    <n v="1674"/>
    <n v="42"/>
    <s v="Male"/>
    <x v="0"/>
    <s v="Analyst"/>
    <s v="Sarah Lee"/>
    <n v="60989"/>
    <n v="26"/>
    <n v="44"/>
    <x v="0"/>
    <n v="5"/>
    <d v="2023-02-13T00:00:00"/>
    <m/>
    <x v="0"/>
  </r>
  <r>
    <n v="1675"/>
    <n v="29"/>
    <s v="Female"/>
    <x v="3"/>
    <s v="Specialist"/>
    <s v="Fatima Noor"/>
    <n v="85744"/>
    <n v="14"/>
    <n v="13"/>
    <x v="4"/>
    <n v="8"/>
    <d v="2018-07-09T00:00:00"/>
    <d v="2016-07-04T00:00:00"/>
    <x v="1"/>
  </r>
  <r>
    <n v="1676"/>
    <n v="24"/>
    <s v="Female"/>
    <x v="3"/>
    <s v="Analyst"/>
    <s v="David Miller"/>
    <n v="93480"/>
    <n v="1"/>
    <n v="5"/>
    <x v="3"/>
    <n v="3"/>
    <d v="2015-09-18T00:00:00"/>
    <d v="2019-08-02T00:00:00"/>
    <x v="1"/>
  </r>
  <r>
    <n v="1677"/>
    <n v="34"/>
    <s v="Male"/>
    <x v="2"/>
    <s v="Specialist"/>
    <s v="Fatima Noor"/>
    <n v="89959"/>
    <n v="27"/>
    <n v="31"/>
    <x v="1"/>
    <n v="2"/>
    <d v="2023-04-04T00:00:00"/>
    <d v="2020-05-14T00:00:00"/>
    <x v="1"/>
  </r>
  <r>
    <n v="1678"/>
    <n v="25"/>
    <s v="Male"/>
    <x v="5"/>
    <s v="Manager"/>
    <s v="Sarah Lee"/>
    <n v="67413"/>
    <n v="4"/>
    <n v="39"/>
    <x v="3"/>
    <n v="2"/>
    <d v="2022-05-10T00:00:00"/>
    <d v="2021-06-12T00:00:00"/>
    <x v="1"/>
  </r>
  <r>
    <n v="1679"/>
    <n v="60"/>
    <s v="Female"/>
    <x v="5"/>
    <s v="Specialist"/>
    <s v="Emily Brown"/>
    <n v="101548"/>
    <n v="18"/>
    <n v="10"/>
    <x v="0"/>
    <n v="7"/>
    <d v="2017-03-08T00:00:00"/>
    <m/>
    <x v="0"/>
  </r>
  <r>
    <n v="1680"/>
    <n v="24"/>
    <s v="Female"/>
    <x v="0"/>
    <s v="Manager"/>
    <s v="John Carter"/>
    <n v="102623"/>
    <n v="4"/>
    <n v="33"/>
    <x v="0"/>
    <n v="6"/>
    <d v="2017-06-20T00:00:00"/>
    <m/>
    <x v="0"/>
  </r>
  <r>
    <n v="1681"/>
    <n v="49"/>
    <s v="Female"/>
    <x v="5"/>
    <s v="Manager"/>
    <s v="Ahmad Hassan"/>
    <n v="90580"/>
    <n v="7"/>
    <n v="24"/>
    <x v="0"/>
    <n v="1"/>
    <d v="2022-06-05T00:00:00"/>
    <d v="2019-06-28T00:00:00"/>
    <x v="1"/>
  </r>
  <r>
    <n v="1682"/>
    <n v="36"/>
    <s v="Female"/>
    <x v="2"/>
    <s v="Associate"/>
    <s v="Ahmad Hassan"/>
    <n v="83378"/>
    <n v="1"/>
    <n v="8"/>
    <x v="1"/>
    <n v="6"/>
    <d v="2017-02-26T00:00:00"/>
    <m/>
    <x v="0"/>
  </r>
  <r>
    <n v="1683"/>
    <n v="47"/>
    <s v="Female"/>
    <x v="5"/>
    <s v="Specialist"/>
    <s v="Fatima Noor"/>
    <n v="51372"/>
    <n v="28"/>
    <n v="30"/>
    <x v="3"/>
    <n v="5"/>
    <d v="2021-03-04T00:00:00"/>
    <d v="2017-06-06T00:00:00"/>
    <x v="1"/>
  </r>
  <r>
    <n v="1684"/>
    <n v="46"/>
    <s v="Female"/>
    <x v="5"/>
    <s v="Analyst"/>
    <s v="Ahmad Hassan"/>
    <n v="59090"/>
    <n v="7"/>
    <n v="53"/>
    <x v="4"/>
    <n v="3"/>
    <d v="2024-03-21T00:00:00"/>
    <m/>
    <x v="0"/>
  </r>
  <r>
    <n v="1685"/>
    <n v="32"/>
    <s v="Male"/>
    <x v="2"/>
    <s v="Specialist"/>
    <s v="Omar Khalid"/>
    <n v="76646"/>
    <n v="30"/>
    <n v="11"/>
    <x v="4"/>
    <n v="1"/>
    <d v="2021-09-06T00:00:00"/>
    <m/>
    <x v="0"/>
  </r>
  <r>
    <n v="1686"/>
    <n v="57"/>
    <s v="Female"/>
    <x v="5"/>
    <s v="Senior Analyst"/>
    <s v="John Carter"/>
    <n v="97848"/>
    <n v="23"/>
    <n v="41"/>
    <x v="4"/>
    <n v="4"/>
    <d v="2020-12-15T00:00:00"/>
    <m/>
    <x v="0"/>
  </r>
  <r>
    <n v="1687"/>
    <n v="53"/>
    <s v="Male"/>
    <x v="0"/>
    <s v="Analyst"/>
    <s v="John Carter"/>
    <n v="86248"/>
    <n v="10"/>
    <n v="27"/>
    <x v="3"/>
    <n v="8"/>
    <d v="2018-08-10T00:00:00"/>
    <m/>
    <x v="0"/>
  </r>
  <r>
    <n v="1688"/>
    <n v="37"/>
    <s v="Female"/>
    <x v="5"/>
    <s v="Senior Analyst"/>
    <s v="Emily Brown"/>
    <n v="61715"/>
    <n v="18"/>
    <n v="14"/>
    <x v="1"/>
    <n v="9"/>
    <d v="2017-10-17T00:00:00"/>
    <m/>
    <x v="0"/>
  </r>
  <r>
    <n v="1689"/>
    <n v="43"/>
    <s v="Male"/>
    <x v="4"/>
    <s v="Associate"/>
    <s v="Omar Khalid"/>
    <n v="86932"/>
    <n v="6"/>
    <n v="34"/>
    <x v="4"/>
    <n v="6"/>
    <d v="2023-09-16T00:00:00"/>
    <m/>
    <x v="0"/>
  </r>
  <r>
    <n v="1690"/>
    <n v="31"/>
    <s v="Female"/>
    <x v="1"/>
    <s v="Analyst"/>
    <s v="Sarah Lee"/>
    <n v="96687"/>
    <n v="16"/>
    <n v="59"/>
    <x v="3"/>
    <n v="10"/>
    <d v="2021-02-02T00:00:00"/>
    <m/>
    <x v="0"/>
  </r>
  <r>
    <n v="1691"/>
    <n v="30"/>
    <s v="Female"/>
    <x v="1"/>
    <s v="Associate"/>
    <s v="Emily Brown"/>
    <n v="48403"/>
    <n v="19"/>
    <n v="7"/>
    <x v="3"/>
    <n v="2"/>
    <d v="2015-08-18T00:00:00"/>
    <d v="2020-12-08T00:00:00"/>
    <x v="1"/>
  </r>
  <r>
    <n v="1692"/>
    <n v="59"/>
    <s v="Female"/>
    <x v="1"/>
    <s v="Manager"/>
    <s v="Sarah Lee"/>
    <n v="105766"/>
    <n v="9"/>
    <n v="24"/>
    <x v="3"/>
    <n v="1"/>
    <d v="2019-04-16T00:00:00"/>
    <d v="2021-03-22T00:00:00"/>
    <x v="1"/>
  </r>
  <r>
    <n v="1693"/>
    <n v="48"/>
    <s v="Female"/>
    <x v="3"/>
    <s v="Specialist"/>
    <s v="Omar Khalid"/>
    <n v="47924"/>
    <n v="30"/>
    <n v="58"/>
    <x v="1"/>
    <n v="7"/>
    <d v="2015-10-02T00:00:00"/>
    <m/>
    <x v="0"/>
  </r>
  <r>
    <n v="1694"/>
    <n v="33"/>
    <s v="Male"/>
    <x v="1"/>
    <s v="Manager"/>
    <s v="Sarah Lee"/>
    <n v="55897"/>
    <n v="27"/>
    <n v="20"/>
    <x v="2"/>
    <n v="10"/>
    <d v="2023-12-22T00:00:00"/>
    <d v="2016-05-05T00:00:00"/>
    <x v="1"/>
  </r>
  <r>
    <n v="1695"/>
    <n v="57"/>
    <s v="Female"/>
    <x v="2"/>
    <s v="Manager"/>
    <s v="Emily Brown"/>
    <n v="91199"/>
    <n v="11"/>
    <n v="5"/>
    <x v="0"/>
    <n v="7"/>
    <d v="2023-07-04T00:00:00"/>
    <m/>
    <x v="0"/>
  </r>
  <r>
    <n v="1696"/>
    <n v="56"/>
    <s v="Female"/>
    <x v="0"/>
    <s v="Associate"/>
    <s v="Sarah Lee"/>
    <n v="107889"/>
    <n v="24"/>
    <n v="16"/>
    <x v="2"/>
    <n v="4"/>
    <d v="2018-12-17T00:00:00"/>
    <d v="2022-11-16T00:00:00"/>
    <x v="1"/>
  </r>
  <r>
    <n v="1697"/>
    <n v="28"/>
    <s v="Male"/>
    <x v="0"/>
    <s v="Senior Analyst"/>
    <s v="Sarah Lee"/>
    <n v="61001"/>
    <n v="15"/>
    <n v="28"/>
    <x v="5"/>
    <n v="6"/>
    <d v="2021-02-12T00:00:00"/>
    <m/>
    <x v="0"/>
  </r>
  <r>
    <n v="1698"/>
    <n v="58"/>
    <s v="Female"/>
    <x v="0"/>
    <s v="Manager"/>
    <s v="Fatima Noor"/>
    <n v="67751"/>
    <n v="12"/>
    <n v="1"/>
    <x v="5"/>
    <n v="8"/>
    <d v="2017-01-17T00:00:00"/>
    <m/>
    <x v="0"/>
  </r>
  <r>
    <n v="1699"/>
    <n v="34"/>
    <s v="Male"/>
    <x v="0"/>
    <s v="Manager"/>
    <s v="Ahmad Hassan"/>
    <n v="65864"/>
    <n v="28"/>
    <n v="22"/>
    <x v="3"/>
    <n v="8"/>
    <d v="2024-06-25T00:00:00"/>
    <d v="2024-01-18T00:00:00"/>
    <x v="1"/>
  </r>
  <r>
    <n v="1700"/>
    <n v="52"/>
    <s v="Male"/>
    <x v="4"/>
    <s v="Associate"/>
    <s v="Fatima Noor"/>
    <n v="59794"/>
    <n v="23"/>
    <n v="56"/>
    <x v="4"/>
    <n v="5"/>
    <d v="2024-08-19T00:00:00"/>
    <d v="2016-10-24T00:00:00"/>
    <x v="1"/>
  </r>
  <r>
    <n v="1701"/>
    <n v="40"/>
    <s v="Female"/>
    <x v="5"/>
    <s v="Analyst"/>
    <s v="Fatima Noor"/>
    <n v="69441"/>
    <n v="8"/>
    <n v="28"/>
    <x v="0"/>
    <n v="10"/>
    <d v="2022-07-05T00:00:00"/>
    <m/>
    <x v="0"/>
  </r>
  <r>
    <n v="1702"/>
    <n v="50"/>
    <s v="Male"/>
    <x v="1"/>
    <s v="Manager"/>
    <s v="Sarah Lee"/>
    <n v="48257"/>
    <n v="5"/>
    <n v="53"/>
    <x v="1"/>
    <n v="5"/>
    <d v="2016-03-06T00:00:00"/>
    <m/>
    <x v="0"/>
  </r>
  <r>
    <n v="1703"/>
    <n v="22"/>
    <s v="Female"/>
    <x v="2"/>
    <s v="Senior Analyst"/>
    <s v="Ahmad Hassan"/>
    <n v="79446"/>
    <n v="10"/>
    <n v="20"/>
    <x v="5"/>
    <n v="9"/>
    <d v="2016-12-28T00:00:00"/>
    <m/>
    <x v="0"/>
  </r>
  <r>
    <n v="1704"/>
    <n v="23"/>
    <s v="Female"/>
    <x v="2"/>
    <s v="Analyst"/>
    <s v="Emily Brown"/>
    <n v="72395"/>
    <n v="8"/>
    <n v="28"/>
    <x v="4"/>
    <n v="4"/>
    <d v="2015-04-13T00:00:00"/>
    <m/>
    <x v="0"/>
  </r>
  <r>
    <n v="1705"/>
    <n v="35"/>
    <s v="Male"/>
    <x v="4"/>
    <s v="Manager"/>
    <s v="Fatima Noor"/>
    <n v="72378"/>
    <n v="5"/>
    <n v="51"/>
    <x v="1"/>
    <n v="6"/>
    <d v="2016-05-12T00:00:00"/>
    <m/>
    <x v="0"/>
  </r>
  <r>
    <n v="1706"/>
    <n v="36"/>
    <s v="Female"/>
    <x v="1"/>
    <s v="Senior Analyst"/>
    <s v="Fatima Noor"/>
    <n v="95479"/>
    <n v="14"/>
    <n v="34"/>
    <x v="3"/>
    <n v="10"/>
    <d v="2023-05-17T00:00:00"/>
    <m/>
    <x v="0"/>
  </r>
  <r>
    <n v="1707"/>
    <n v="46"/>
    <s v="Female"/>
    <x v="5"/>
    <s v="Specialist"/>
    <s v="Sarah Lee"/>
    <n v="79939"/>
    <n v="6"/>
    <n v="25"/>
    <x v="2"/>
    <n v="3"/>
    <d v="2021-07-22T00:00:00"/>
    <m/>
    <x v="0"/>
  </r>
  <r>
    <n v="1708"/>
    <n v="43"/>
    <s v="Male"/>
    <x v="0"/>
    <s v="Associate"/>
    <s v="Ahmad Hassan"/>
    <n v="58942"/>
    <n v="11"/>
    <n v="31"/>
    <x v="5"/>
    <n v="8"/>
    <d v="2016-04-06T00:00:00"/>
    <m/>
    <x v="0"/>
  </r>
  <r>
    <n v="1709"/>
    <n v="45"/>
    <s v="Male"/>
    <x v="0"/>
    <s v="Specialist"/>
    <s v="Omar Khalid"/>
    <n v="81225"/>
    <n v="16"/>
    <n v="21"/>
    <x v="2"/>
    <n v="2"/>
    <d v="2020-10-17T00:00:00"/>
    <m/>
    <x v="0"/>
  </r>
  <r>
    <n v="1710"/>
    <n v="40"/>
    <s v="Female"/>
    <x v="1"/>
    <s v="Manager"/>
    <s v="David Miller"/>
    <n v="95191"/>
    <n v="15"/>
    <n v="2"/>
    <x v="0"/>
    <n v="5"/>
    <d v="2017-01-15T00:00:00"/>
    <d v="2019-04-14T00:00:00"/>
    <x v="1"/>
  </r>
  <r>
    <n v="1711"/>
    <n v="46"/>
    <s v="Male"/>
    <x v="2"/>
    <s v="Manager"/>
    <s v="Ahmad Hassan"/>
    <n v="51934"/>
    <n v="11"/>
    <n v="25"/>
    <x v="4"/>
    <n v="3"/>
    <d v="2020-05-02T00:00:00"/>
    <m/>
    <x v="0"/>
  </r>
  <r>
    <n v="1712"/>
    <n v="42"/>
    <s v="Male"/>
    <x v="5"/>
    <s v="Manager"/>
    <s v="Emily Brown"/>
    <n v="89499"/>
    <n v="24"/>
    <n v="43"/>
    <x v="5"/>
    <n v="10"/>
    <d v="2023-11-21T00:00:00"/>
    <m/>
    <x v="0"/>
  </r>
  <r>
    <n v="1713"/>
    <n v="46"/>
    <s v="Male"/>
    <x v="5"/>
    <s v="Specialist"/>
    <s v="Emily Brown"/>
    <n v="88087"/>
    <n v="12"/>
    <n v="2"/>
    <x v="1"/>
    <n v="9"/>
    <d v="2015-06-13T00:00:00"/>
    <m/>
    <x v="0"/>
  </r>
  <r>
    <n v="1714"/>
    <n v="24"/>
    <s v="Male"/>
    <x v="2"/>
    <s v="Senior Analyst"/>
    <s v="Fatima Noor"/>
    <n v="56957"/>
    <n v="28"/>
    <n v="8"/>
    <x v="3"/>
    <n v="7"/>
    <d v="2022-07-15T00:00:00"/>
    <m/>
    <x v="0"/>
  </r>
  <r>
    <n v="1715"/>
    <n v="31"/>
    <s v="Female"/>
    <x v="4"/>
    <s v="Manager"/>
    <s v="David Miller"/>
    <n v="102079"/>
    <n v="29"/>
    <n v="36"/>
    <x v="5"/>
    <n v="1"/>
    <d v="2020-02-25T00:00:00"/>
    <m/>
    <x v="0"/>
  </r>
  <r>
    <n v="1716"/>
    <n v="30"/>
    <s v="Female"/>
    <x v="0"/>
    <s v="Senior Analyst"/>
    <s v="Ahmad Hassan"/>
    <n v="68732"/>
    <n v="5"/>
    <n v="12"/>
    <x v="3"/>
    <n v="9"/>
    <d v="2023-10-26T00:00:00"/>
    <d v="2019-11-24T00:00:00"/>
    <x v="1"/>
  </r>
  <r>
    <n v="1717"/>
    <n v="22"/>
    <s v="Female"/>
    <x v="5"/>
    <s v="Analyst"/>
    <s v="John Carter"/>
    <n v="45401"/>
    <n v="7"/>
    <n v="9"/>
    <x v="4"/>
    <n v="10"/>
    <d v="2020-07-27T00:00:00"/>
    <m/>
    <x v="0"/>
  </r>
  <r>
    <n v="1718"/>
    <n v="40"/>
    <s v="Male"/>
    <x v="5"/>
    <s v="Manager"/>
    <s v="Emily Brown"/>
    <n v="73301"/>
    <n v="27"/>
    <n v="56"/>
    <x v="0"/>
    <n v="1"/>
    <d v="2018-08-28T00:00:00"/>
    <m/>
    <x v="0"/>
  </r>
  <r>
    <n v="1719"/>
    <n v="33"/>
    <s v="Male"/>
    <x v="2"/>
    <s v="Associate"/>
    <s v="John Carter"/>
    <n v="61993"/>
    <n v="1"/>
    <n v="54"/>
    <x v="3"/>
    <n v="5"/>
    <d v="2022-09-16T00:00:00"/>
    <m/>
    <x v="0"/>
  </r>
  <r>
    <n v="1720"/>
    <n v="23"/>
    <s v="Female"/>
    <x v="5"/>
    <s v="Senior Analyst"/>
    <s v="Sarah Lee"/>
    <n v="55763"/>
    <n v="7"/>
    <n v="41"/>
    <x v="0"/>
    <n v="8"/>
    <d v="2015-07-04T00:00:00"/>
    <d v="2020-12-25T00:00:00"/>
    <x v="1"/>
  </r>
  <r>
    <n v="1721"/>
    <n v="34"/>
    <s v="Male"/>
    <x v="4"/>
    <s v="Specialist"/>
    <s v="Omar Khalid"/>
    <n v="105659"/>
    <n v="8"/>
    <n v="4"/>
    <x v="5"/>
    <n v="3"/>
    <d v="2016-04-10T00:00:00"/>
    <m/>
    <x v="0"/>
  </r>
  <r>
    <n v="1722"/>
    <n v="51"/>
    <s v="Female"/>
    <x v="4"/>
    <s v="Associate"/>
    <s v="Sarah Lee"/>
    <n v="47572"/>
    <n v="9"/>
    <n v="43"/>
    <x v="2"/>
    <n v="1"/>
    <d v="2024-09-13T00:00:00"/>
    <m/>
    <x v="0"/>
  </r>
  <r>
    <n v="1723"/>
    <n v="53"/>
    <s v="Female"/>
    <x v="0"/>
    <s v="Specialist"/>
    <s v="Sarah Lee"/>
    <n v="89764"/>
    <n v="6"/>
    <n v="4"/>
    <x v="2"/>
    <n v="6"/>
    <d v="2021-01-03T00:00:00"/>
    <m/>
    <x v="0"/>
  </r>
  <r>
    <n v="1724"/>
    <n v="24"/>
    <s v="Male"/>
    <x v="2"/>
    <s v="Associate"/>
    <s v="Sarah Lee"/>
    <n v="59833"/>
    <n v="15"/>
    <n v="29"/>
    <x v="2"/>
    <n v="8"/>
    <d v="2024-01-20T00:00:00"/>
    <m/>
    <x v="0"/>
  </r>
  <r>
    <n v="1725"/>
    <n v="45"/>
    <s v="Female"/>
    <x v="3"/>
    <s v="Associate"/>
    <s v="Ahmad Hassan"/>
    <n v="89209"/>
    <n v="21"/>
    <n v="11"/>
    <x v="0"/>
    <n v="3"/>
    <d v="2023-06-27T00:00:00"/>
    <m/>
    <x v="0"/>
  </r>
  <r>
    <n v="1726"/>
    <n v="30"/>
    <s v="Male"/>
    <x v="0"/>
    <s v="Specialist"/>
    <s v="Omar Khalid"/>
    <n v="73574"/>
    <n v="6"/>
    <n v="34"/>
    <x v="0"/>
    <n v="4"/>
    <d v="2016-08-24T00:00:00"/>
    <m/>
    <x v="0"/>
  </r>
  <r>
    <n v="1727"/>
    <n v="33"/>
    <s v="Male"/>
    <x v="3"/>
    <s v="Manager"/>
    <s v="Omar Khalid"/>
    <n v="63122"/>
    <n v="2"/>
    <n v="46"/>
    <x v="4"/>
    <n v="3"/>
    <d v="2021-05-19T00:00:00"/>
    <d v="2021-09-28T00:00:00"/>
    <x v="1"/>
  </r>
  <r>
    <n v="1728"/>
    <n v="49"/>
    <s v="Female"/>
    <x v="5"/>
    <s v="Senior Analyst"/>
    <s v="Fatima Noor"/>
    <n v="108622"/>
    <n v="18"/>
    <n v="50"/>
    <x v="1"/>
    <n v="6"/>
    <d v="2022-11-27T00:00:00"/>
    <d v="2018-06-02T00:00:00"/>
    <x v="1"/>
  </r>
  <r>
    <n v="1729"/>
    <n v="55"/>
    <s v="Female"/>
    <x v="5"/>
    <s v="Manager"/>
    <s v="Ahmad Hassan"/>
    <n v="78070"/>
    <n v="1"/>
    <n v="37"/>
    <x v="4"/>
    <n v="8"/>
    <d v="2017-07-19T00:00:00"/>
    <m/>
    <x v="0"/>
  </r>
  <r>
    <n v="1730"/>
    <n v="22"/>
    <s v="Female"/>
    <x v="2"/>
    <s v="Analyst"/>
    <s v="Ahmad Hassan"/>
    <n v="70034"/>
    <n v="25"/>
    <n v="34"/>
    <x v="0"/>
    <n v="10"/>
    <d v="2022-02-12T00:00:00"/>
    <d v="2017-07-17T00:00:00"/>
    <x v="1"/>
  </r>
  <r>
    <n v="1731"/>
    <n v="23"/>
    <s v="Female"/>
    <x v="2"/>
    <s v="Associate"/>
    <s v="Fatima Noor"/>
    <n v="102726"/>
    <n v="29"/>
    <n v="54"/>
    <x v="3"/>
    <n v="2"/>
    <d v="2015-11-12T00:00:00"/>
    <m/>
    <x v="0"/>
  </r>
  <r>
    <n v="1732"/>
    <n v="53"/>
    <s v="Female"/>
    <x v="0"/>
    <s v="Associate"/>
    <s v="John Carter"/>
    <n v="69996"/>
    <n v="2"/>
    <n v="14"/>
    <x v="3"/>
    <n v="7"/>
    <d v="2022-03-12T00:00:00"/>
    <m/>
    <x v="0"/>
  </r>
  <r>
    <n v="1733"/>
    <n v="59"/>
    <s v="Female"/>
    <x v="2"/>
    <s v="Manager"/>
    <s v="Omar Khalid"/>
    <n v="83961"/>
    <n v="9"/>
    <n v="51"/>
    <x v="0"/>
    <n v="6"/>
    <d v="2019-08-04T00:00:00"/>
    <m/>
    <x v="0"/>
  </r>
  <r>
    <n v="1734"/>
    <n v="52"/>
    <s v="Female"/>
    <x v="0"/>
    <s v="Manager"/>
    <s v="Fatima Noor"/>
    <n v="77510"/>
    <n v="5"/>
    <n v="14"/>
    <x v="2"/>
    <n v="10"/>
    <d v="2023-08-23T00:00:00"/>
    <m/>
    <x v="0"/>
  </r>
  <r>
    <n v="1735"/>
    <n v="59"/>
    <s v="Male"/>
    <x v="2"/>
    <s v="Senior Analyst"/>
    <s v="Omar Khalid"/>
    <n v="98337"/>
    <n v="11"/>
    <n v="9"/>
    <x v="0"/>
    <n v="1"/>
    <d v="2017-01-09T00:00:00"/>
    <m/>
    <x v="0"/>
  </r>
  <r>
    <n v="1736"/>
    <n v="55"/>
    <s v="Female"/>
    <x v="0"/>
    <s v="Specialist"/>
    <s v="David Miller"/>
    <n v="83696"/>
    <n v="3"/>
    <n v="58"/>
    <x v="0"/>
    <n v="5"/>
    <d v="2024-03-13T00:00:00"/>
    <m/>
    <x v="0"/>
  </r>
  <r>
    <n v="1737"/>
    <n v="57"/>
    <s v="Male"/>
    <x v="5"/>
    <s v="Manager"/>
    <s v="Sarah Lee"/>
    <n v="93438"/>
    <n v="11"/>
    <n v="59"/>
    <x v="4"/>
    <n v="2"/>
    <d v="2018-08-03T00:00:00"/>
    <m/>
    <x v="0"/>
  </r>
  <r>
    <n v="1738"/>
    <n v="49"/>
    <s v="Male"/>
    <x v="1"/>
    <s v="Specialist"/>
    <s v="Ahmad Hassan"/>
    <n v="46371"/>
    <n v="23"/>
    <n v="45"/>
    <x v="1"/>
    <n v="5"/>
    <d v="2015-01-09T00:00:00"/>
    <d v="2020-05-11T00:00:00"/>
    <x v="1"/>
  </r>
  <r>
    <n v="1739"/>
    <n v="30"/>
    <s v="Female"/>
    <x v="0"/>
    <s v="Associate"/>
    <s v="Fatima Noor"/>
    <n v="87526"/>
    <n v="23"/>
    <n v="13"/>
    <x v="4"/>
    <n v="8"/>
    <d v="2018-08-21T00:00:00"/>
    <m/>
    <x v="0"/>
  </r>
  <r>
    <n v="1740"/>
    <n v="26"/>
    <s v="Male"/>
    <x v="4"/>
    <s v="Senior Analyst"/>
    <s v="Fatima Noor"/>
    <n v="96147"/>
    <n v="15"/>
    <n v="43"/>
    <x v="1"/>
    <n v="5"/>
    <d v="2024-08-13T00:00:00"/>
    <m/>
    <x v="0"/>
  </r>
  <r>
    <n v="1741"/>
    <n v="44"/>
    <s v="Female"/>
    <x v="4"/>
    <s v="Senior Analyst"/>
    <s v="Ahmad Hassan"/>
    <n v="93357"/>
    <n v="1"/>
    <n v="55"/>
    <x v="4"/>
    <n v="4"/>
    <d v="2021-09-08T00:00:00"/>
    <m/>
    <x v="0"/>
  </r>
  <r>
    <n v="1742"/>
    <n v="48"/>
    <s v="Female"/>
    <x v="5"/>
    <s v="Associate"/>
    <s v="Sarah Lee"/>
    <n v="99875"/>
    <n v="4"/>
    <n v="0"/>
    <x v="1"/>
    <n v="10"/>
    <d v="2020-01-12T00:00:00"/>
    <m/>
    <x v="0"/>
  </r>
  <r>
    <n v="1743"/>
    <n v="41"/>
    <s v="Male"/>
    <x v="1"/>
    <s v="Associate"/>
    <s v="David Miller"/>
    <n v="59611"/>
    <n v="14"/>
    <n v="48"/>
    <x v="2"/>
    <n v="1"/>
    <d v="2020-06-06T00:00:00"/>
    <d v="2024-10-17T00:00:00"/>
    <x v="1"/>
  </r>
  <r>
    <n v="1744"/>
    <n v="44"/>
    <s v="Male"/>
    <x v="5"/>
    <s v="Senior Analyst"/>
    <s v="John Carter"/>
    <n v="72664"/>
    <n v="4"/>
    <n v="54"/>
    <x v="3"/>
    <n v="5"/>
    <d v="2020-10-22T00:00:00"/>
    <m/>
    <x v="0"/>
  </r>
  <r>
    <n v="1745"/>
    <n v="53"/>
    <s v="Male"/>
    <x v="5"/>
    <s v="Associate"/>
    <s v="Omar Khalid"/>
    <n v="71539"/>
    <n v="28"/>
    <n v="59"/>
    <x v="5"/>
    <n v="9"/>
    <d v="2018-11-02T00:00:00"/>
    <m/>
    <x v="0"/>
  </r>
  <r>
    <n v="1746"/>
    <n v="32"/>
    <s v="Male"/>
    <x v="2"/>
    <s v="Manager"/>
    <s v="Emily Brown"/>
    <n v="56314"/>
    <n v="12"/>
    <n v="14"/>
    <x v="4"/>
    <n v="6"/>
    <d v="2017-10-24T00:00:00"/>
    <m/>
    <x v="0"/>
  </r>
  <r>
    <n v="1747"/>
    <n v="24"/>
    <s v="Male"/>
    <x v="0"/>
    <s v="Specialist"/>
    <s v="Sarah Lee"/>
    <n v="84798"/>
    <n v="9"/>
    <n v="10"/>
    <x v="1"/>
    <n v="10"/>
    <d v="2019-08-15T00:00:00"/>
    <m/>
    <x v="0"/>
  </r>
  <r>
    <n v="1748"/>
    <n v="45"/>
    <s v="Male"/>
    <x v="5"/>
    <s v="Senior Analyst"/>
    <s v="Sarah Lee"/>
    <n v="53342"/>
    <n v="4"/>
    <n v="43"/>
    <x v="1"/>
    <n v="6"/>
    <d v="2017-01-26T00:00:00"/>
    <d v="2018-04-01T00:00:00"/>
    <x v="1"/>
  </r>
  <r>
    <n v="1749"/>
    <n v="60"/>
    <s v="Female"/>
    <x v="5"/>
    <s v="Senior Analyst"/>
    <s v="David Miller"/>
    <n v="71216"/>
    <n v="14"/>
    <n v="13"/>
    <x v="1"/>
    <n v="6"/>
    <d v="2017-10-23T00:00:00"/>
    <m/>
    <x v="0"/>
  </r>
  <r>
    <n v="1750"/>
    <n v="23"/>
    <s v="Male"/>
    <x v="0"/>
    <s v="Senior Analyst"/>
    <s v="John Carter"/>
    <n v="100540"/>
    <n v="18"/>
    <n v="0"/>
    <x v="1"/>
    <n v="2"/>
    <d v="2021-05-28T00:00:00"/>
    <m/>
    <x v="0"/>
  </r>
  <r>
    <n v="1751"/>
    <n v="23"/>
    <s v="Male"/>
    <x v="2"/>
    <s v="Senior Analyst"/>
    <s v="Emily Brown"/>
    <n v="74220"/>
    <n v="21"/>
    <n v="47"/>
    <x v="5"/>
    <n v="3"/>
    <d v="2021-01-07T00:00:00"/>
    <d v="2019-01-03T00:00:00"/>
    <x v="1"/>
  </r>
  <r>
    <n v="1752"/>
    <n v="59"/>
    <s v="Male"/>
    <x v="5"/>
    <s v="Manager"/>
    <s v="Sarah Lee"/>
    <n v="58581"/>
    <n v="19"/>
    <n v="21"/>
    <x v="5"/>
    <n v="7"/>
    <d v="2022-06-08T00:00:00"/>
    <m/>
    <x v="0"/>
  </r>
  <r>
    <n v="1753"/>
    <n v="48"/>
    <s v="Male"/>
    <x v="0"/>
    <s v="Analyst"/>
    <s v="Fatima Noor"/>
    <n v="73585"/>
    <n v="3"/>
    <n v="49"/>
    <x v="2"/>
    <n v="5"/>
    <d v="2020-11-28T00:00:00"/>
    <d v="2021-12-04T00:00:00"/>
    <x v="1"/>
  </r>
  <r>
    <n v="1754"/>
    <n v="38"/>
    <s v="Male"/>
    <x v="2"/>
    <s v="Analyst"/>
    <s v="Sarah Lee"/>
    <n v="71359"/>
    <n v="7"/>
    <n v="19"/>
    <x v="5"/>
    <n v="9"/>
    <d v="2018-05-26T00:00:00"/>
    <m/>
    <x v="0"/>
  </r>
  <r>
    <n v="1755"/>
    <n v="46"/>
    <s v="Female"/>
    <x v="2"/>
    <s v="Specialist"/>
    <s v="Emily Brown"/>
    <n v="82581"/>
    <n v="17"/>
    <n v="17"/>
    <x v="5"/>
    <n v="6"/>
    <d v="2024-09-25T00:00:00"/>
    <m/>
    <x v="0"/>
  </r>
  <r>
    <n v="1756"/>
    <n v="27"/>
    <s v="Male"/>
    <x v="1"/>
    <s v="Specialist"/>
    <s v="David Miller"/>
    <n v="66421"/>
    <n v="14"/>
    <n v="20"/>
    <x v="4"/>
    <n v="1"/>
    <d v="2015-04-16T00:00:00"/>
    <m/>
    <x v="0"/>
  </r>
  <r>
    <n v="1757"/>
    <n v="25"/>
    <s v="Male"/>
    <x v="0"/>
    <s v="Specialist"/>
    <s v="John Carter"/>
    <n v="92991"/>
    <n v="7"/>
    <n v="28"/>
    <x v="3"/>
    <n v="6"/>
    <d v="2019-06-09T00:00:00"/>
    <m/>
    <x v="0"/>
  </r>
  <r>
    <n v="1758"/>
    <n v="43"/>
    <s v="Male"/>
    <x v="2"/>
    <s v="Manager"/>
    <s v="Ahmad Hassan"/>
    <n v="52368"/>
    <n v="0"/>
    <n v="10"/>
    <x v="0"/>
    <n v="1"/>
    <d v="2020-03-10T00:00:00"/>
    <m/>
    <x v="0"/>
  </r>
  <r>
    <n v="1759"/>
    <n v="32"/>
    <s v="Male"/>
    <x v="4"/>
    <s v="Analyst"/>
    <s v="Sarah Lee"/>
    <n v="74139"/>
    <n v="15"/>
    <n v="32"/>
    <x v="1"/>
    <n v="3"/>
    <d v="2016-11-10T00:00:00"/>
    <m/>
    <x v="0"/>
  </r>
  <r>
    <n v="1760"/>
    <n v="27"/>
    <s v="Female"/>
    <x v="2"/>
    <s v="Analyst"/>
    <s v="Emily Brown"/>
    <n v="109551"/>
    <n v="19"/>
    <n v="12"/>
    <x v="4"/>
    <n v="8"/>
    <d v="2023-07-08T00:00:00"/>
    <m/>
    <x v="0"/>
  </r>
  <r>
    <n v="1761"/>
    <n v="36"/>
    <s v="Female"/>
    <x v="1"/>
    <s v="Senior Analyst"/>
    <s v="Fatima Noor"/>
    <n v="58144"/>
    <n v="16"/>
    <n v="59"/>
    <x v="0"/>
    <n v="1"/>
    <d v="2021-06-06T00:00:00"/>
    <d v="2017-07-28T00:00:00"/>
    <x v="1"/>
  </r>
  <r>
    <n v="1762"/>
    <n v="43"/>
    <s v="Male"/>
    <x v="3"/>
    <s v="Manager"/>
    <s v="Ahmad Hassan"/>
    <n v="83390"/>
    <n v="9"/>
    <n v="12"/>
    <x v="4"/>
    <n v="2"/>
    <d v="2018-10-11T00:00:00"/>
    <m/>
    <x v="0"/>
  </r>
  <r>
    <n v="1763"/>
    <n v="23"/>
    <s v="Male"/>
    <x v="5"/>
    <s v="Specialist"/>
    <s v="Omar Khalid"/>
    <n v="47462"/>
    <n v="17"/>
    <n v="25"/>
    <x v="4"/>
    <n v="7"/>
    <d v="2019-10-24T00:00:00"/>
    <d v="2018-08-09T00:00:00"/>
    <x v="1"/>
  </r>
  <r>
    <n v="1764"/>
    <n v="41"/>
    <s v="Female"/>
    <x v="3"/>
    <s v="Senior Analyst"/>
    <s v="Fatima Noor"/>
    <n v="45347"/>
    <n v="3"/>
    <n v="15"/>
    <x v="1"/>
    <n v="10"/>
    <d v="2019-03-26T00:00:00"/>
    <m/>
    <x v="0"/>
  </r>
  <r>
    <n v="1765"/>
    <n v="60"/>
    <s v="Female"/>
    <x v="2"/>
    <s v="Associate"/>
    <s v="Sarah Lee"/>
    <n v="61178"/>
    <n v="28"/>
    <n v="36"/>
    <x v="0"/>
    <n v="3"/>
    <d v="2024-06-06T00:00:00"/>
    <d v="2020-10-05T00:00:00"/>
    <x v="1"/>
  </r>
  <r>
    <n v="1766"/>
    <n v="44"/>
    <s v="Female"/>
    <x v="2"/>
    <s v="Specialist"/>
    <s v="Sarah Lee"/>
    <n v="79585"/>
    <n v="0"/>
    <n v="44"/>
    <x v="5"/>
    <n v="7"/>
    <d v="2024-08-21T00:00:00"/>
    <m/>
    <x v="0"/>
  </r>
  <r>
    <n v="1767"/>
    <n v="53"/>
    <s v="Male"/>
    <x v="1"/>
    <s v="Manager"/>
    <s v="Ahmad Hassan"/>
    <n v="81141"/>
    <n v="16"/>
    <n v="43"/>
    <x v="0"/>
    <n v="10"/>
    <d v="2024-08-13T00:00:00"/>
    <d v="2023-02-23T00:00:00"/>
    <x v="1"/>
  </r>
  <r>
    <n v="1768"/>
    <n v="41"/>
    <s v="Male"/>
    <x v="3"/>
    <s v="Specialist"/>
    <s v="Emily Brown"/>
    <n v="87686"/>
    <n v="26"/>
    <n v="3"/>
    <x v="5"/>
    <n v="6"/>
    <d v="2020-01-27T00:00:00"/>
    <m/>
    <x v="0"/>
  </r>
  <r>
    <n v="1769"/>
    <n v="57"/>
    <s v="Female"/>
    <x v="1"/>
    <s v="Senior Analyst"/>
    <s v="Sarah Lee"/>
    <n v="60366"/>
    <n v="9"/>
    <n v="45"/>
    <x v="3"/>
    <n v="10"/>
    <d v="2018-03-05T00:00:00"/>
    <m/>
    <x v="0"/>
  </r>
  <r>
    <n v="1770"/>
    <n v="54"/>
    <s v="Female"/>
    <x v="0"/>
    <s v="Senior Analyst"/>
    <s v="Emily Brown"/>
    <n v="96910"/>
    <n v="17"/>
    <n v="53"/>
    <x v="5"/>
    <n v="7"/>
    <d v="2022-01-14T00:00:00"/>
    <m/>
    <x v="0"/>
  </r>
  <r>
    <n v="1771"/>
    <n v="27"/>
    <s v="Female"/>
    <x v="1"/>
    <s v="Associate"/>
    <s v="David Miller"/>
    <n v="53267"/>
    <n v="23"/>
    <n v="10"/>
    <x v="0"/>
    <n v="6"/>
    <d v="2016-02-19T00:00:00"/>
    <m/>
    <x v="0"/>
  </r>
  <r>
    <n v="1772"/>
    <n v="60"/>
    <s v="Male"/>
    <x v="4"/>
    <s v="Senior Analyst"/>
    <s v="John Carter"/>
    <n v="75391"/>
    <n v="9"/>
    <n v="55"/>
    <x v="5"/>
    <n v="8"/>
    <d v="2019-11-16T00:00:00"/>
    <m/>
    <x v="0"/>
  </r>
  <r>
    <n v="1773"/>
    <n v="22"/>
    <s v="Female"/>
    <x v="2"/>
    <s v="Senior Analyst"/>
    <s v="David Miller"/>
    <n v="102207"/>
    <n v="23"/>
    <n v="6"/>
    <x v="3"/>
    <n v="1"/>
    <d v="2021-06-18T00:00:00"/>
    <m/>
    <x v="0"/>
  </r>
  <r>
    <n v="1774"/>
    <n v="44"/>
    <s v="Male"/>
    <x v="2"/>
    <s v="Senior Analyst"/>
    <s v="Emily Brown"/>
    <n v="60071"/>
    <n v="11"/>
    <n v="29"/>
    <x v="0"/>
    <n v="4"/>
    <d v="2019-07-10T00:00:00"/>
    <m/>
    <x v="0"/>
  </r>
  <r>
    <n v="1775"/>
    <n v="45"/>
    <s v="Female"/>
    <x v="4"/>
    <s v="Specialist"/>
    <s v="David Miller"/>
    <n v="63305"/>
    <n v="6"/>
    <n v="12"/>
    <x v="2"/>
    <n v="5"/>
    <d v="2020-05-18T00:00:00"/>
    <m/>
    <x v="0"/>
  </r>
  <r>
    <n v="1776"/>
    <n v="57"/>
    <s v="Male"/>
    <x v="5"/>
    <s v="Manager"/>
    <s v="Sarah Lee"/>
    <n v="108402"/>
    <n v="7"/>
    <n v="18"/>
    <x v="5"/>
    <n v="1"/>
    <d v="2019-11-11T00:00:00"/>
    <m/>
    <x v="0"/>
  </r>
  <r>
    <n v="1777"/>
    <n v="58"/>
    <s v="Female"/>
    <x v="1"/>
    <s v="Senior Analyst"/>
    <s v="Fatima Noor"/>
    <n v="60645"/>
    <n v="2"/>
    <n v="30"/>
    <x v="1"/>
    <n v="9"/>
    <d v="2023-04-20T00:00:00"/>
    <m/>
    <x v="0"/>
  </r>
  <r>
    <n v="1778"/>
    <n v="57"/>
    <s v="Female"/>
    <x v="3"/>
    <s v="Senior Analyst"/>
    <s v="David Miller"/>
    <n v="71033"/>
    <n v="21"/>
    <n v="13"/>
    <x v="0"/>
    <n v="3"/>
    <d v="2024-01-13T00:00:00"/>
    <m/>
    <x v="0"/>
  </r>
  <r>
    <n v="1779"/>
    <n v="23"/>
    <s v="Female"/>
    <x v="2"/>
    <s v="Specialist"/>
    <s v="Ahmad Hassan"/>
    <n v="73039"/>
    <n v="13"/>
    <n v="23"/>
    <x v="3"/>
    <n v="10"/>
    <d v="2021-09-27T00:00:00"/>
    <m/>
    <x v="0"/>
  </r>
  <r>
    <n v="1780"/>
    <n v="44"/>
    <s v="Male"/>
    <x v="0"/>
    <s v="Senior Analyst"/>
    <s v="John Carter"/>
    <n v="89109"/>
    <n v="0"/>
    <n v="47"/>
    <x v="3"/>
    <n v="5"/>
    <d v="2016-11-20T00:00:00"/>
    <m/>
    <x v="0"/>
  </r>
  <r>
    <n v="1781"/>
    <n v="35"/>
    <s v="Female"/>
    <x v="0"/>
    <s v="Analyst"/>
    <s v="Ahmad Hassan"/>
    <n v="87072"/>
    <n v="1"/>
    <n v="12"/>
    <x v="1"/>
    <n v="5"/>
    <d v="2021-05-21T00:00:00"/>
    <d v="2016-04-03T00:00:00"/>
    <x v="1"/>
  </r>
  <r>
    <n v="1782"/>
    <n v="39"/>
    <s v="Female"/>
    <x v="2"/>
    <s v="Associate"/>
    <s v="Emily Brown"/>
    <n v="72372"/>
    <n v="13"/>
    <n v="0"/>
    <x v="4"/>
    <n v="7"/>
    <d v="2023-02-08T00:00:00"/>
    <m/>
    <x v="0"/>
  </r>
  <r>
    <n v="1783"/>
    <n v="52"/>
    <s v="Male"/>
    <x v="1"/>
    <s v="Senior Analyst"/>
    <s v="Sarah Lee"/>
    <n v="47646"/>
    <n v="8"/>
    <n v="42"/>
    <x v="2"/>
    <n v="1"/>
    <d v="2020-04-07T00:00:00"/>
    <d v="2021-08-10T00:00:00"/>
    <x v="1"/>
  </r>
  <r>
    <n v="1784"/>
    <n v="22"/>
    <s v="Male"/>
    <x v="5"/>
    <s v="Specialist"/>
    <s v="Emily Brown"/>
    <n v="50048"/>
    <n v="25"/>
    <n v="19"/>
    <x v="2"/>
    <n v="3"/>
    <d v="2021-10-18T00:00:00"/>
    <m/>
    <x v="0"/>
  </r>
  <r>
    <n v="1785"/>
    <n v="60"/>
    <s v="Female"/>
    <x v="0"/>
    <s v="Analyst"/>
    <s v="Sarah Lee"/>
    <n v="76064"/>
    <n v="15"/>
    <n v="39"/>
    <x v="3"/>
    <n v="4"/>
    <d v="2018-04-04T00:00:00"/>
    <d v="2020-06-24T00:00:00"/>
    <x v="1"/>
  </r>
  <r>
    <n v="1786"/>
    <n v="23"/>
    <s v="Female"/>
    <x v="2"/>
    <s v="Senior Analyst"/>
    <s v="Fatima Noor"/>
    <n v="79764"/>
    <n v="5"/>
    <n v="54"/>
    <x v="1"/>
    <n v="1"/>
    <d v="2023-05-07T00:00:00"/>
    <d v="2022-09-28T00:00:00"/>
    <x v="1"/>
  </r>
  <r>
    <n v="1787"/>
    <n v="42"/>
    <s v="Male"/>
    <x v="5"/>
    <s v="Associate"/>
    <s v="Omar Khalid"/>
    <n v="101046"/>
    <n v="7"/>
    <n v="41"/>
    <x v="5"/>
    <n v="9"/>
    <d v="2019-03-01T00:00:00"/>
    <m/>
    <x v="0"/>
  </r>
  <r>
    <n v="1788"/>
    <n v="49"/>
    <s v="Male"/>
    <x v="0"/>
    <s v="Manager"/>
    <s v="Ahmad Hassan"/>
    <n v="107177"/>
    <n v="30"/>
    <n v="1"/>
    <x v="3"/>
    <n v="10"/>
    <d v="2021-09-25T00:00:00"/>
    <m/>
    <x v="0"/>
  </r>
  <r>
    <n v="1789"/>
    <n v="31"/>
    <s v="Male"/>
    <x v="1"/>
    <s v="Senior Analyst"/>
    <s v="Sarah Lee"/>
    <n v="101397"/>
    <n v="12"/>
    <n v="20"/>
    <x v="2"/>
    <n v="6"/>
    <d v="2018-10-11T00:00:00"/>
    <m/>
    <x v="0"/>
  </r>
  <r>
    <n v="1790"/>
    <n v="40"/>
    <s v="Male"/>
    <x v="4"/>
    <s v="Manager"/>
    <s v="Fatima Noor"/>
    <n v="102762"/>
    <n v="18"/>
    <n v="48"/>
    <x v="5"/>
    <n v="6"/>
    <d v="2018-08-27T00:00:00"/>
    <m/>
    <x v="0"/>
  </r>
  <r>
    <n v="1791"/>
    <n v="48"/>
    <s v="Female"/>
    <x v="4"/>
    <s v="Associate"/>
    <s v="Omar Khalid"/>
    <n v="47096"/>
    <n v="20"/>
    <n v="44"/>
    <x v="2"/>
    <n v="3"/>
    <d v="2017-05-15T00:00:00"/>
    <m/>
    <x v="0"/>
  </r>
  <r>
    <n v="1792"/>
    <n v="41"/>
    <s v="Female"/>
    <x v="5"/>
    <s v="Associate"/>
    <s v="Sarah Lee"/>
    <n v="77314"/>
    <n v="2"/>
    <n v="15"/>
    <x v="0"/>
    <n v="9"/>
    <d v="2024-01-04T00:00:00"/>
    <d v="2016-03-27T00:00:00"/>
    <x v="1"/>
  </r>
  <r>
    <n v="1793"/>
    <n v="41"/>
    <s v="Female"/>
    <x v="5"/>
    <s v="Associate"/>
    <s v="Omar Khalid"/>
    <n v="96164"/>
    <n v="14"/>
    <n v="43"/>
    <x v="4"/>
    <n v="10"/>
    <d v="2019-10-27T00:00:00"/>
    <m/>
    <x v="0"/>
  </r>
  <r>
    <n v="1794"/>
    <n v="33"/>
    <s v="Male"/>
    <x v="1"/>
    <s v="Senior Analyst"/>
    <s v="Sarah Lee"/>
    <n v="73411"/>
    <n v="22"/>
    <n v="28"/>
    <x v="3"/>
    <n v="3"/>
    <d v="2018-07-12T00:00:00"/>
    <m/>
    <x v="0"/>
  </r>
  <r>
    <n v="1795"/>
    <n v="40"/>
    <s v="Male"/>
    <x v="2"/>
    <s v="Specialist"/>
    <s v="Sarah Lee"/>
    <n v="65819"/>
    <n v="22"/>
    <n v="12"/>
    <x v="0"/>
    <n v="10"/>
    <d v="2021-03-08T00:00:00"/>
    <m/>
    <x v="0"/>
  </r>
  <r>
    <n v="1796"/>
    <n v="21"/>
    <s v="Female"/>
    <x v="0"/>
    <s v="Specialist"/>
    <s v="Ahmad Hassan"/>
    <n v="69554"/>
    <n v="30"/>
    <n v="44"/>
    <x v="5"/>
    <n v="4"/>
    <d v="2022-08-18T00:00:00"/>
    <m/>
    <x v="0"/>
  </r>
  <r>
    <n v="1797"/>
    <n v="50"/>
    <s v="Female"/>
    <x v="0"/>
    <s v="Analyst"/>
    <s v="Omar Khalid"/>
    <n v="88159"/>
    <n v="27"/>
    <n v="42"/>
    <x v="2"/>
    <n v="1"/>
    <d v="2018-07-24T00:00:00"/>
    <d v="2022-05-05T00:00:00"/>
    <x v="1"/>
  </r>
  <r>
    <n v="1798"/>
    <n v="23"/>
    <s v="Male"/>
    <x v="1"/>
    <s v="Specialist"/>
    <s v="Ahmad Hassan"/>
    <n v="46744"/>
    <n v="18"/>
    <n v="25"/>
    <x v="2"/>
    <n v="1"/>
    <d v="2024-07-08T00:00:00"/>
    <m/>
    <x v="0"/>
  </r>
  <r>
    <n v="1799"/>
    <n v="34"/>
    <s v="Female"/>
    <x v="5"/>
    <s v="Manager"/>
    <s v="David Miller"/>
    <n v="73451"/>
    <n v="2"/>
    <n v="14"/>
    <x v="5"/>
    <n v="6"/>
    <d v="2015-03-08T00:00:00"/>
    <m/>
    <x v="0"/>
  </r>
  <r>
    <n v="1800"/>
    <n v="54"/>
    <s v="Male"/>
    <x v="0"/>
    <s v="Manager"/>
    <s v="Ahmad Hassan"/>
    <n v="109392"/>
    <n v="18"/>
    <n v="48"/>
    <x v="3"/>
    <n v="10"/>
    <d v="2024-12-18T00:00:00"/>
    <m/>
    <x v="0"/>
  </r>
  <r>
    <n v="1801"/>
    <n v="60"/>
    <s v="Female"/>
    <x v="4"/>
    <s v="Specialist"/>
    <s v="Omar Khalid"/>
    <n v="87898"/>
    <n v="21"/>
    <n v="15"/>
    <x v="3"/>
    <n v="7"/>
    <d v="2017-01-03T00:00:00"/>
    <d v="2021-08-09T00:00:00"/>
    <x v="1"/>
  </r>
  <r>
    <n v="1802"/>
    <n v="28"/>
    <s v="Female"/>
    <x v="4"/>
    <s v="Senior Analyst"/>
    <s v="John Carter"/>
    <n v="77727"/>
    <n v="7"/>
    <n v="33"/>
    <x v="0"/>
    <n v="4"/>
    <d v="2022-09-24T00:00:00"/>
    <d v="2021-08-06T00:00:00"/>
    <x v="1"/>
  </r>
  <r>
    <n v="1803"/>
    <n v="21"/>
    <s v="Male"/>
    <x v="2"/>
    <s v="Specialist"/>
    <s v="Emily Brown"/>
    <n v="93659"/>
    <n v="27"/>
    <n v="54"/>
    <x v="4"/>
    <n v="2"/>
    <d v="2019-09-16T00:00:00"/>
    <m/>
    <x v="0"/>
  </r>
  <r>
    <n v="1804"/>
    <n v="26"/>
    <s v="Male"/>
    <x v="1"/>
    <s v="Specialist"/>
    <s v="Sarah Lee"/>
    <n v="73961"/>
    <n v="17"/>
    <n v="22"/>
    <x v="3"/>
    <n v="4"/>
    <d v="2020-04-04T00:00:00"/>
    <m/>
    <x v="0"/>
  </r>
  <r>
    <n v="1805"/>
    <n v="40"/>
    <s v="Female"/>
    <x v="4"/>
    <s v="Specialist"/>
    <s v="Omar Khalid"/>
    <n v="70868"/>
    <n v="1"/>
    <n v="18"/>
    <x v="5"/>
    <n v="7"/>
    <d v="2022-04-06T00:00:00"/>
    <m/>
    <x v="0"/>
  </r>
  <r>
    <n v="1806"/>
    <n v="41"/>
    <s v="Male"/>
    <x v="5"/>
    <s v="Analyst"/>
    <s v="Fatima Noor"/>
    <n v="48136"/>
    <n v="26"/>
    <n v="14"/>
    <x v="0"/>
    <n v="8"/>
    <d v="2024-03-27T00:00:00"/>
    <d v="2020-10-27T00:00:00"/>
    <x v="1"/>
  </r>
  <r>
    <n v="1807"/>
    <n v="47"/>
    <s v="Male"/>
    <x v="2"/>
    <s v="Specialist"/>
    <s v="Fatima Noor"/>
    <n v="89311"/>
    <n v="30"/>
    <n v="24"/>
    <x v="2"/>
    <n v="9"/>
    <d v="2020-09-28T00:00:00"/>
    <d v="2023-11-26T00:00:00"/>
    <x v="1"/>
  </r>
  <r>
    <n v="1808"/>
    <n v="24"/>
    <s v="Female"/>
    <x v="4"/>
    <s v="Analyst"/>
    <s v="John Carter"/>
    <n v="91876"/>
    <n v="20"/>
    <n v="22"/>
    <x v="0"/>
    <n v="5"/>
    <d v="2021-12-15T00:00:00"/>
    <d v="2022-12-24T00:00:00"/>
    <x v="1"/>
  </r>
  <r>
    <n v="1809"/>
    <n v="31"/>
    <s v="Female"/>
    <x v="1"/>
    <s v="Specialist"/>
    <s v="Fatima Noor"/>
    <n v="85297"/>
    <n v="10"/>
    <n v="6"/>
    <x v="3"/>
    <n v="2"/>
    <d v="2019-11-09T00:00:00"/>
    <m/>
    <x v="0"/>
  </r>
  <r>
    <n v="1810"/>
    <n v="41"/>
    <s v="Female"/>
    <x v="0"/>
    <s v="Associate"/>
    <s v="Fatima Noor"/>
    <n v="80745"/>
    <n v="5"/>
    <n v="57"/>
    <x v="0"/>
    <n v="3"/>
    <d v="2017-11-25T00:00:00"/>
    <m/>
    <x v="0"/>
  </r>
  <r>
    <n v="1811"/>
    <n v="53"/>
    <s v="Male"/>
    <x v="5"/>
    <s v="Analyst"/>
    <s v="Fatima Noor"/>
    <n v="93857"/>
    <n v="8"/>
    <n v="38"/>
    <x v="1"/>
    <n v="5"/>
    <d v="2018-07-19T00:00:00"/>
    <m/>
    <x v="0"/>
  </r>
  <r>
    <n v="1812"/>
    <n v="27"/>
    <s v="Female"/>
    <x v="5"/>
    <s v="Senior Analyst"/>
    <s v="John Carter"/>
    <n v="53976"/>
    <n v="27"/>
    <n v="36"/>
    <x v="0"/>
    <n v="5"/>
    <d v="2016-09-14T00:00:00"/>
    <d v="2024-08-04T00:00:00"/>
    <x v="1"/>
  </r>
  <r>
    <n v="1813"/>
    <n v="24"/>
    <s v="Female"/>
    <x v="1"/>
    <s v="Senior Analyst"/>
    <s v="Sarah Lee"/>
    <n v="75757"/>
    <n v="28"/>
    <n v="53"/>
    <x v="0"/>
    <n v="6"/>
    <d v="2023-05-15T00:00:00"/>
    <d v="2020-06-01T00:00:00"/>
    <x v="1"/>
  </r>
  <r>
    <n v="1814"/>
    <n v="47"/>
    <s v="Male"/>
    <x v="2"/>
    <s v="Senior Analyst"/>
    <s v="David Miller"/>
    <n v="57643"/>
    <n v="0"/>
    <n v="16"/>
    <x v="0"/>
    <n v="10"/>
    <d v="2019-05-15T00:00:00"/>
    <m/>
    <x v="0"/>
  </r>
  <r>
    <n v="1815"/>
    <n v="27"/>
    <s v="Female"/>
    <x v="5"/>
    <s v="Associate"/>
    <s v="Fatima Noor"/>
    <n v="105610"/>
    <n v="13"/>
    <n v="43"/>
    <x v="5"/>
    <n v="6"/>
    <d v="2022-02-18T00:00:00"/>
    <m/>
    <x v="0"/>
  </r>
  <r>
    <n v="1816"/>
    <n v="27"/>
    <s v="Male"/>
    <x v="2"/>
    <s v="Senior Analyst"/>
    <s v="Emily Brown"/>
    <n v="107579"/>
    <n v="14"/>
    <n v="50"/>
    <x v="5"/>
    <n v="4"/>
    <d v="2015-10-17T00:00:00"/>
    <m/>
    <x v="0"/>
  </r>
  <r>
    <n v="1817"/>
    <n v="46"/>
    <s v="Male"/>
    <x v="5"/>
    <s v="Senior Analyst"/>
    <s v="John Carter"/>
    <n v="82049"/>
    <n v="12"/>
    <n v="0"/>
    <x v="4"/>
    <n v="9"/>
    <d v="2016-10-27T00:00:00"/>
    <d v="2021-09-21T00:00:00"/>
    <x v="1"/>
  </r>
  <r>
    <n v="1818"/>
    <n v="41"/>
    <s v="Female"/>
    <x v="1"/>
    <s v="Specialist"/>
    <s v="Emily Brown"/>
    <n v="95678"/>
    <n v="22"/>
    <n v="54"/>
    <x v="5"/>
    <n v="5"/>
    <d v="2015-08-17T00:00:00"/>
    <m/>
    <x v="0"/>
  </r>
  <r>
    <n v="1819"/>
    <n v="57"/>
    <s v="Male"/>
    <x v="2"/>
    <s v="Manager"/>
    <s v="Sarah Lee"/>
    <n v="88180"/>
    <n v="13"/>
    <n v="53"/>
    <x v="4"/>
    <n v="5"/>
    <d v="2019-02-10T00:00:00"/>
    <d v="2018-11-28T00:00:00"/>
    <x v="1"/>
  </r>
  <r>
    <n v="1820"/>
    <n v="28"/>
    <s v="Male"/>
    <x v="0"/>
    <s v="Analyst"/>
    <s v="Emily Brown"/>
    <n v="52075"/>
    <n v="28"/>
    <n v="16"/>
    <x v="4"/>
    <n v="6"/>
    <d v="2019-04-20T00:00:00"/>
    <m/>
    <x v="0"/>
  </r>
  <r>
    <n v="1821"/>
    <n v="29"/>
    <s v="Male"/>
    <x v="5"/>
    <s v="Manager"/>
    <s v="Omar Khalid"/>
    <n v="96886"/>
    <n v="25"/>
    <n v="3"/>
    <x v="4"/>
    <n v="9"/>
    <d v="2023-12-08T00:00:00"/>
    <d v="2019-04-05T00:00:00"/>
    <x v="1"/>
  </r>
  <r>
    <n v="1822"/>
    <n v="54"/>
    <s v="Male"/>
    <x v="1"/>
    <s v="Associate"/>
    <s v="Sarah Lee"/>
    <n v="67319"/>
    <n v="18"/>
    <n v="24"/>
    <x v="2"/>
    <n v="7"/>
    <d v="2021-06-23T00:00:00"/>
    <m/>
    <x v="0"/>
  </r>
  <r>
    <n v="1823"/>
    <n v="57"/>
    <s v="Female"/>
    <x v="5"/>
    <s v="Specialist"/>
    <s v="Sarah Lee"/>
    <n v="109551"/>
    <n v="5"/>
    <n v="14"/>
    <x v="5"/>
    <n v="1"/>
    <d v="2017-10-12T00:00:00"/>
    <d v="2016-04-13T00:00:00"/>
    <x v="1"/>
  </r>
  <r>
    <n v="1824"/>
    <n v="53"/>
    <s v="Male"/>
    <x v="4"/>
    <s v="Specialist"/>
    <s v="Fatima Noor"/>
    <n v="103385"/>
    <n v="4"/>
    <n v="8"/>
    <x v="3"/>
    <n v="8"/>
    <d v="2023-03-27T00:00:00"/>
    <m/>
    <x v="0"/>
  </r>
  <r>
    <n v="1825"/>
    <n v="56"/>
    <s v="Male"/>
    <x v="4"/>
    <s v="Analyst"/>
    <s v="Sarah Lee"/>
    <n v="47940"/>
    <n v="23"/>
    <n v="20"/>
    <x v="3"/>
    <n v="5"/>
    <d v="2020-06-11T00:00:00"/>
    <m/>
    <x v="0"/>
  </r>
  <r>
    <n v="1826"/>
    <n v="41"/>
    <s v="Male"/>
    <x v="5"/>
    <s v="Specialist"/>
    <s v="Sarah Lee"/>
    <n v="95418"/>
    <n v="19"/>
    <n v="45"/>
    <x v="4"/>
    <n v="1"/>
    <d v="2022-09-27T00:00:00"/>
    <d v="2023-07-26T00:00:00"/>
    <x v="1"/>
  </r>
  <r>
    <n v="1827"/>
    <n v="40"/>
    <s v="Male"/>
    <x v="2"/>
    <s v="Senior Analyst"/>
    <s v="Sarah Lee"/>
    <n v="54245"/>
    <n v="10"/>
    <n v="27"/>
    <x v="2"/>
    <n v="8"/>
    <d v="2021-12-26T00:00:00"/>
    <m/>
    <x v="0"/>
  </r>
  <r>
    <n v="1828"/>
    <n v="31"/>
    <s v="Male"/>
    <x v="2"/>
    <s v="Associate"/>
    <s v="Emily Brown"/>
    <n v="82874"/>
    <n v="11"/>
    <n v="12"/>
    <x v="4"/>
    <n v="5"/>
    <d v="2019-01-10T00:00:00"/>
    <m/>
    <x v="0"/>
  </r>
  <r>
    <n v="1829"/>
    <n v="23"/>
    <s v="Male"/>
    <x v="5"/>
    <s v="Specialist"/>
    <s v="David Miller"/>
    <n v="100762"/>
    <n v="27"/>
    <n v="7"/>
    <x v="3"/>
    <n v="1"/>
    <d v="2021-10-15T00:00:00"/>
    <m/>
    <x v="0"/>
  </r>
  <r>
    <n v="1830"/>
    <n v="33"/>
    <s v="Male"/>
    <x v="5"/>
    <s v="Specialist"/>
    <s v="Emily Brown"/>
    <n v="47179"/>
    <n v="16"/>
    <n v="47"/>
    <x v="4"/>
    <n v="10"/>
    <d v="2020-08-06T00:00:00"/>
    <m/>
    <x v="0"/>
  </r>
  <r>
    <n v="1831"/>
    <n v="37"/>
    <s v="Female"/>
    <x v="0"/>
    <s v="Specialist"/>
    <s v="Ahmad Hassan"/>
    <n v="48264"/>
    <n v="16"/>
    <n v="17"/>
    <x v="0"/>
    <n v="4"/>
    <d v="2016-12-16T00:00:00"/>
    <m/>
    <x v="0"/>
  </r>
  <r>
    <n v="1832"/>
    <n v="59"/>
    <s v="Male"/>
    <x v="5"/>
    <s v="Senior Analyst"/>
    <s v="Ahmad Hassan"/>
    <n v="47506"/>
    <n v="3"/>
    <n v="38"/>
    <x v="5"/>
    <n v="7"/>
    <d v="2019-04-22T00:00:00"/>
    <m/>
    <x v="0"/>
  </r>
  <r>
    <n v="1833"/>
    <n v="21"/>
    <s v="Female"/>
    <x v="4"/>
    <s v="Analyst"/>
    <s v="Sarah Lee"/>
    <n v="47673"/>
    <n v="19"/>
    <n v="3"/>
    <x v="1"/>
    <n v="1"/>
    <d v="2023-10-26T00:00:00"/>
    <d v="2020-01-04T00:00:00"/>
    <x v="1"/>
  </r>
  <r>
    <n v="1834"/>
    <n v="54"/>
    <s v="Male"/>
    <x v="5"/>
    <s v="Specialist"/>
    <s v="Fatima Noor"/>
    <n v="93785"/>
    <n v="6"/>
    <n v="5"/>
    <x v="2"/>
    <n v="10"/>
    <d v="2015-03-20T00:00:00"/>
    <m/>
    <x v="0"/>
  </r>
  <r>
    <n v="1835"/>
    <n v="39"/>
    <s v="Female"/>
    <x v="5"/>
    <s v="Associate"/>
    <s v="Emily Brown"/>
    <n v="73904"/>
    <n v="30"/>
    <n v="44"/>
    <x v="2"/>
    <n v="6"/>
    <d v="2018-05-16T00:00:00"/>
    <m/>
    <x v="0"/>
  </r>
  <r>
    <n v="1836"/>
    <n v="26"/>
    <s v="Male"/>
    <x v="3"/>
    <s v="Associate"/>
    <s v="Ahmad Hassan"/>
    <n v="109736"/>
    <n v="21"/>
    <n v="45"/>
    <x v="0"/>
    <n v="9"/>
    <d v="2021-05-01T00:00:00"/>
    <m/>
    <x v="0"/>
  </r>
  <r>
    <n v="1837"/>
    <n v="49"/>
    <s v="Male"/>
    <x v="1"/>
    <s v="Senior Analyst"/>
    <s v="Omar Khalid"/>
    <n v="91723"/>
    <n v="29"/>
    <n v="37"/>
    <x v="5"/>
    <n v="4"/>
    <d v="2018-04-19T00:00:00"/>
    <d v="2017-07-05T00:00:00"/>
    <x v="1"/>
  </r>
  <r>
    <n v="1838"/>
    <n v="40"/>
    <s v="Female"/>
    <x v="4"/>
    <s v="Senior Analyst"/>
    <s v="Ahmad Hassan"/>
    <n v="90311"/>
    <n v="15"/>
    <n v="59"/>
    <x v="2"/>
    <n v="8"/>
    <d v="2019-10-11T00:00:00"/>
    <m/>
    <x v="0"/>
  </r>
  <r>
    <n v="1839"/>
    <n v="48"/>
    <s v="Male"/>
    <x v="5"/>
    <s v="Analyst"/>
    <s v="John Carter"/>
    <n v="49412"/>
    <n v="18"/>
    <n v="18"/>
    <x v="4"/>
    <n v="8"/>
    <d v="2018-07-18T00:00:00"/>
    <m/>
    <x v="0"/>
  </r>
  <r>
    <n v="1840"/>
    <n v="59"/>
    <s v="Male"/>
    <x v="1"/>
    <s v="Senior Analyst"/>
    <s v="Ahmad Hassan"/>
    <n v="83891"/>
    <n v="12"/>
    <n v="24"/>
    <x v="0"/>
    <n v="1"/>
    <d v="2017-03-18T00:00:00"/>
    <m/>
    <x v="0"/>
  </r>
  <r>
    <n v="1841"/>
    <n v="25"/>
    <s v="Female"/>
    <x v="2"/>
    <s v="Associate"/>
    <s v="Sarah Lee"/>
    <n v="56332"/>
    <n v="5"/>
    <n v="9"/>
    <x v="0"/>
    <n v="2"/>
    <d v="2020-09-15T00:00:00"/>
    <m/>
    <x v="0"/>
  </r>
  <r>
    <n v="1842"/>
    <n v="40"/>
    <s v="Female"/>
    <x v="3"/>
    <s v="Specialist"/>
    <s v="David Miller"/>
    <n v="87698"/>
    <n v="9"/>
    <n v="24"/>
    <x v="2"/>
    <n v="6"/>
    <d v="2019-11-02T00:00:00"/>
    <m/>
    <x v="0"/>
  </r>
  <r>
    <n v="1843"/>
    <n v="53"/>
    <s v="Female"/>
    <x v="4"/>
    <s v="Manager"/>
    <s v="John Carter"/>
    <n v="81303"/>
    <n v="1"/>
    <n v="31"/>
    <x v="1"/>
    <n v="3"/>
    <d v="2022-06-23T00:00:00"/>
    <d v="2023-11-13T00:00:00"/>
    <x v="1"/>
  </r>
  <r>
    <n v="1844"/>
    <n v="33"/>
    <s v="Female"/>
    <x v="1"/>
    <s v="Manager"/>
    <s v="Ahmad Hassan"/>
    <n v="83368"/>
    <n v="28"/>
    <n v="19"/>
    <x v="3"/>
    <n v="7"/>
    <d v="2019-05-15T00:00:00"/>
    <m/>
    <x v="0"/>
  </r>
  <r>
    <n v="1845"/>
    <n v="41"/>
    <s v="Female"/>
    <x v="5"/>
    <s v="Senior Analyst"/>
    <s v="David Miller"/>
    <n v="106399"/>
    <n v="10"/>
    <n v="10"/>
    <x v="5"/>
    <n v="5"/>
    <d v="2020-10-23T00:00:00"/>
    <m/>
    <x v="0"/>
  </r>
  <r>
    <n v="1846"/>
    <n v="33"/>
    <s v="Female"/>
    <x v="4"/>
    <s v="Senior Analyst"/>
    <s v="Ahmad Hassan"/>
    <n v="91416"/>
    <n v="6"/>
    <n v="31"/>
    <x v="0"/>
    <n v="5"/>
    <d v="2015-07-23T00:00:00"/>
    <m/>
    <x v="0"/>
  </r>
  <r>
    <n v="1847"/>
    <n v="59"/>
    <s v="Female"/>
    <x v="1"/>
    <s v="Manager"/>
    <s v="Emily Brown"/>
    <n v="63818"/>
    <n v="24"/>
    <n v="6"/>
    <x v="4"/>
    <n v="5"/>
    <d v="2023-02-06T00:00:00"/>
    <d v="2016-06-07T00:00:00"/>
    <x v="1"/>
  </r>
  <r>
    <n v="1848"/>
    <n v="54"/>
    <s v="Male"/>
    <x v="5"/>
    <s v="Senior Analyst"/>
    <s v="Fatima Noor"/>
    <n v="56688"/>
    <n v="18"/>
    <n v="24"/>
    <x v="4"/>
    <n v="7"/>
    <d v="2024-01-01T00:00:00"/>
    <d v="2019-10-22T00:00:00"/>
    <x v="1"/>
  </r>
  <r>
    <n v="1849"/>
    <n v="26"/>
    <s v="Male"/>
    <x v="0"/>
    <s v="Manager"/>
    <s v="John Carter"/>
    <n v="109947"/>
    <n v="20"/>
    <n v="42"/>
    <x v="3"/>
    <n v="9"/>
    <d v="2020-08-18T00:00:00"/>
    <d v="2017-04-01T00:00:00"/>
    <x v="1"/>
  </r>
  <r>
    <n v="1850"/>
    <n v="33"/>
    <s v="Female"/>
    <x v="1"/>
    <s v="Senior Analyst"/>
    <s v="David Miller"/>
    <n v="53126"/>
    <n v="16"/>
    <n v="13"/>
    <x v="4"/>
    <n v="5"/>
    <d v="2024-01-07T00:00:00"/>
    <m/>
    <x v="0"/>
  </r>
  <r>
    <n v="1851"/>
    <n v="28"/>
    <s v="Male"/>
    <x v="2"/>
    <s v="Senior Analyst"/>
    <s v="David Miller"/>
    <n v="50836"/>
    <n v="26"/>
    <n v="29"/>
    <x v="4"/>
    <n v="1"/>
    <d v="2021-03-17T00:00:00"/>
    <m/>
    <x v="0"/>
  </r>
  <r>
    <n v="1852"/>
    <n v="34"/>
    <s v="Male"/>
    <x v="0"/>
    <s v="Manager"/>
    <s v="Sarah Lee"/>
    <n v="105293"/>
    <n v="1"/>
    <n v="8"/>
    <x v="2"/>
    <n v="8"/>
    <d v="2020-05-20T00:00:00"/>
    <d v="2020-02-23T00:00:00"/>
    <x v="1"/>
  </r>
  <r>
    <n v="1853"/>
    <n v="24"/>
    <s v="Female"/>
    <x v="3"/>
    <s v="Manager"/>
    <s v="Fatima Noor"/>
    <n v="99020"/>
    <n v="1"/>
    <n v="46"/>
    <x v="0"/>
    <n v="3"/>
    <d v="2017-03-14T00:00:00"/>
    <d v="2022-01-03T00:00:00"/>
    <x v="1"/>
  </r>
  <r>
    <n v="1854"/>
    <n v="41"/>
    <s v="Female"/>
    <x v="4"/>
    <s v="Associate"/>
    <s v="David Miller"/>
    <n v="59011"/>
    <n v="19"/>
    <n v="0"/>
    <x v="5"/>
    <n v="1"/>
    <d v="2019-06-17T00:00:00"/>
    <m/>
    <x v="0"/>
  </r>
  <r>
    <n v="1855"/>
    <n v="47"/>
    <s v="Female"/>
    <x v="0"/>
    <s v="Associate"/>
    <s v="Sarah Lee"/>
    <n v="66503"/>
    <n v="28"/>
    <n v="40"/>
    <x v="5"/>
    <n v="3"/>
    <d v="2023-08-17T00:00:00"/>
    <d v="2019-11-03T00:00:00"/>
    <x v="1"/>
  </r>
  <r>
    <n v="1856"/>
    <n v="32"/>
    <s v="Female"/>
    <x v="4"/>
    <s v="Specialist"/>
    <s v="Ahmad Hassan"/>
    <n v="88866"/>
    <n v="17"/>
    <n v="28"/>
    <x v="5"/>
    <n v="8"/>
    <d v="2021-03-06T00:00:00"/>
    <d v="2016-07-27T00:00:00"/>
    <x v="1"/>
  </r>
  <r>
    <n v="1857"/>
    <n v="24"/>
    <s v="Female"/>
    <x v="5"/>
    <s v="Associate"/>
    <s v="David Miller"/>
    <n v="57172"/>
    <n v="5"/>
    <n v="8"/>
    <x v="3"/>
    <n v="8"/>
    <d v="2023-02-24T00:00:00"/>
    <m/>
    <x v="0"/>
  </r>
  <r>
    <n v="1858"/>
    <n v="25"/>
    <s v="Male"/>
    <x v="1"/>
    <s v="Manager"/>
    <s v="Emily Brown"/>
    <n v="100532"/>
    <n v="2"/>
    <n v="18"/>
    <x v="4"/>
    <n v="9"/>
    <d v="2024-09-22T00:00:00"/>
    <m/>
    <x v="0"/>
  </r>
  <r>
    <n v="1859"/>
    <n v="45"/>
    <s v="Female"/>
    <x v="0"/>
    <s v="Senior Analyst"/>
    <s v="John Carter"/>
    <n v="98031"/>
    <n v="11"/>
    <n v="41"/>
    <x v="2"/>
    <n v="2"/>
    <d v="2024-06-23T00:00:00"/>
    <d v="2018-09-09T00:00:00"/>
    <x v="1"/>
  </r>
  <r>
    <n v="1860"/>
    <n v="56"/>
    <s v="Female"/>
    <x v="1"/>
    <s v="Manager"/>
    <s v="Sarah Lee"/>
    <n v="65822"/>
    <n v="9"/>
    <n v="56"/>
    <x v="5"/>
    <n v="7"/>
    <d v="2016-08-13T00:00:00"/>
    <m/>
    <x v="0"/>
  </r>
  <r>
    <n v="1861"/>
    <n v="39"/>
    <s v="Male"/>
    <x v="0"/>
    <s v="Specialist"/>
    <s v="Omar Khalid"/>
    <n v="78150"/>
    <n v="22"/>
    <n v="35"/>
    <x v="5"/>
    <n v="7"/>
    <d v="2018-08-23T00:00:00"/>
    <m/>
    <x v="0"/>
  </r>
  <r>
    <n v="1862"/>
    <n v="48"/>
    <s v="Male"/>
    <x v="5"/>
    <s v="Analyst"/>
    <s v="Emily Brown"/>
    <n v="81427"/>
    <n v="13"/>
    <n v="2"/>
    <x v="2"/>
    <n v="1"/>
    <d v="2020-06-17T00:00:00"/>
    <m/>
    <x v="0"/>
  </r>
  <r>
    <n v="1863"/>
    <n v="36"/>
    <s v="Female"/>
    <x v="4"/>
    <s v="Associate"/>
    <s v="Sarah Lee"/>
    <n v="101721"/>
    <n v="15"/>
    <n v="44"/>
    <x v="2"/>
    <n v="4"/>
    <d v="2024-03-19T00:00:00"/>
    <m/>
    <x v="0"/>
  </r>
  <r>
    <n v="1864"/>
    <n v="41"/>
    <s v="Female"/>
    <x v="2"/>
    <s v="Associate"/>
    <s v="Emily Brown"/>
    <n v="74249"/>
    <n v="8"/>
    <n v="43"/>
    <x v="0"/>
    <n v="8"/>
    <d v="2015-10-22T00:00:00"/>
    <m/>
    <x v="0"/>
  </r>
  <r>
    <n v="1865"/>
    <n v="35"/>
    <s v="Male"/>
    <x v="1"/>
    <s v="Manager"/>
    <s v="David Miller"/>
    <n v="77938"/>
    <n v="9"/>
    <n v="35"/>
    <x v="4"/>
    <n v="9"/>
    <d v="2023-01-26T00:00:00"/>
    <m/>
    <x v="0"/>
  </r>
  <r>
    <n v="1866"/>
    <n v="34"/>
    <s v="Female"/>
    <x v="0"/>
    <s v="Manager"/>
    <s v="David Miller"/>
    <n v="59470"/>
    <n v="15"/>
    <n v="11"/>
    <x v="5"/>
    <n v="6"/>
    <d v="2018-01-08T00:00:00"/>
    <m/>
    <x v="0"/>
  </r>
  <r>
    <n v="1867"/>
    <n v="30"/>
    <s v="Male"/>
    <x v="0"/>
    <s v="Specialist"/>
    <s v="Ahmad Hassan"/>
    <n v="57354"/>
    <n v="13"/>
    <n v="34"/>
    <x v="1"/>
    <n v="2"/>
    <d v="2015-06-01T00:00:00"/>
    <m/>
    <x v="0"/>
  </r>
  <r>
    <n v="1868"/>
    <n v="49"/>
    <s v="Male"/>
    <x v="2"/>
    <s v="Associate"/>
    <s v="Omar Khalid"/>
    <n v="61513"/>
    <n v="29"/>
    <n v="56"/>
    <x v="0"/>
    <n v="6"/>
    <d v="2021-08-20T00:00:00"/>
    <m/>
    <x v="0"/>
  </r>
  <r>
    <n v="1869"/>
    <n v="39"/>
    <s v="Female"/>
    <x v="5"/>
    <s v="Analyst"/>
    <s v="John Carter"/>
    <n v="73181"/>
    <n v="11"/>
    <n v="33"/>
    <x v="0"/>
    <n v="7"/>
    <d v="2023-07-26T00:00:00"/>
    <m/>
    <x v="0"/>
  </r>
  <r>
    <n v="1870"/>
    <n v="26"/>
    <s v="Male"/>
    <x v="1"/>
    <s v="Manager"/>
    <s v="Fatima Noor"/>
    <n v="89769"/>
    <n v="7"/>
    <n v="16"/>
    <x v="0"/>
    <n v="8"/>
    <d v="2021-01-15T00:00:00"/>
    <m/>
    <x v="0"/>
  </r>
  <r>
    <n v="1871"/>
    <n v="39"/>
    <s v="Female"/>
    <x v="2"/>
    <s v="Associate"/>
    <s v="David Miller"/>
    <n v="66096"/>
    <n v="8"/>
    <n v="9"/>
    <x v="0"/>
    <n v="4"/>
    <d v="2019-08-18T00:00:00"/>
    <m/>
    <x v="0"/>
  </r>
  <r>
    <n v="1872"/>
    <n v="46"/>
    <s v="Female"/>
    <x v="1"/>
    <s v="Senior Analyst"/>
    <s v="Omar Khalid"/>
    <n v="61448"/>
    <n v="18"/>
    <n v="59"/>
    <x v="4"/>
    <n v="7"/>
    <d v="2024-01-13T00:00:00"/>
    <m/>
    <x v="0"/>
  </r>
  <r>
    <n v="1873"/>
    <n v="49"/>
    <s v="Male"/>
    <x v="0"/>
    <s v="Senior Analyst"/>
    <s v="Fatima Noor"/>
    <n v="51633"/>
    <n v="14"/>
    <n v="39"/>
    <x v="3"/>
    <n v="2"/>
    <d v="2020-04-05T00:00:00"/>
    <d v="2021-09-04T00:00:00"/>
    <x v="1"/>
  </r>
  <r>
    <n v="1874"/>
    <n v="51"/>
    <s v="Female"/>
    <x v="0"/>
    <s v="Specialist"/>
    <s v="Ahmad Hassan"/>
    <n v="95200"/>
    <n v="10"/>
    <n v="26"/>
    <x v="2"/>
    <n v="6"/>
    <d v="2021-10-16T00:00:00"/>
    <d v="2021-07-03T00:00:00"/>
    <x v="1"/>
  </r>
  <r>
    <n v="1875"/>
    <n v="25"/>
    <s v="Female"/>
    <x v="3"/>
    <s v="Specialist"/>
    <s v="David Miller"/>
    <n v="89951"/>
    <n v="4"/>
    <n v="31"/>
    <x v="1"/>
    <n v="5"/>
    <d v="2015-02-20T00:00:00"/>
    <m/>
    <x v="0"/>
  </r>
  <r>
    <n v="1876"/>
    <n v="56"/>
    <s v="Male"/>
    <x v="1"/>
    <s v="Associate"/>
    <s v="Sarah Lee"/>
    <n v="60414"/>
    <n v="29"/>
    <n v="9"/>
    <x v="3"/>
    <n v="4"/>
    <d v="2017-05-28T00:00:00"/>
    <d v="2021-10-20T00:00:00"/>
    <x v="1"/>
  </r>
  <r>
    <n v="1877"/>
    <n v="57"/>
    <s v="Male"/>
    <x v="1"/>
    <s v="Senior Analyst"/>
    <s v="Fatima Noor"/>
    <n v="83553"/>
    <n v="11"/>
    <n v="33"/>
    <x v="4"/>
    <n v="3"/>
    <d v="2020-04-11T00:00:00"/>
    <m/>
    <x v="0"/>
  </r>
  <r>
    <n v="1878"/>
    <n v="32"/>
    <s v="Male"/>
    <x v="3"/>
    <s v="Manager"/>
    <s v="David Miller"/>
    <n v="81713"/>
    <n v="18"/>
    <n v="4"/>
    <x v="2"/>
    <n v="1"/>
    <d v="2024-11-14T00:00:00"/>
    <d v="2019-12-13T00:00:00"/>
    <x v="1"/>
  </r>
  <r>
    <n v="1879"/>
    <n v="33"/>
    <s v="Male"/>
    <x v="4"/>
    <s v="Manager"/>
    <s v="Fatima Noor"/>
    <n v="102676"/>
    <n v="10"/>
    <n v="24"/>
    <x v="4"/>
    <n v="6"/>
    <d v="2024-02-15T00:00:00"/>
    <m/>
    <x v="0"/>
  </r>
  <r>
    <n v="1880"/>
    <n v="53"/>
    <s v="Female"/>
    <x v="1"/>
    <s v="Specialist"/>
    <s v="Fatima Noor"/>
    <n v="94272"/>
    <n v="30"/>
    <n v="22"/>
    <x v="0"/>
    <n v="7"/>
    <d v="2019-04-05T00:00:00"/>
    <m/>
    <x v="0"/>
  </r>
  <r>
    <n v="1881"/>
    <n v="25"/>
    <s v="Male"/>
    <x v="5"/>
    <s v="Associate"/>
    <s v="David Miller"/>
    <n v="58804"/>
    <n v="1"/>
    <n v="55"/>
    <x v="3"/>
    <n v="6"/>
    <d v="2023-04-12T00:00:00"/>
    <d v="2021-06-14T00:00:00"/>
    <x v="1"/>
  </r>
  <r>
    <n v="1882"/>
    <n v="22"/>
    <s v="Male"/>
    <x v="5"/>
    <s v="Analyst"/>
    <s v="Ahmad Hassan"/>
    <n v="99695"/>
    <n v="29"/>
    <n v="5"/>
    <x v="4"/>
    <n v="1"/>
    <d v="2015-11-07T00:00:00"/>
    <m/>
    <x v="0"/>
  </r>
  <r>
    <n v="1883"/>
    <n v="40"/>
    <s v="Female"/>
    <x v="4"/>
    <s v="Manager"/>
    <s v="Omar Khalid"/>
    <n v="56743"/>
    <n v="20"/>
    <n v="57"/>
    <x v="1"/>
    <n v="9"/>
    <d v="2019-08-22T00:00:00"/>
    <d v="2018-09-04T00:00:00"/>
    <x v="1"/>
  </r>
  <r>
    <n v="1884"/>
    <n v="43"/>
    <s v="Female"/>
    <x v="0"/>
    <s v="Specialist"/>
    <s v="John Carter"/>
    <n v="103161"/>
    <n v="3"/>
    <n v="42"/>
    <x v="5"/>
    <n v="3"/>
    <d v="2020-08-22T00:00:00"/>
    <m/>
    <x v="0"/>
  </r>
  <r>
    <n v="1885"/>
    <n v="56"/>
    <s v="Male"/>
    <x v="0"/>
    <s v="Manager"/>
    <s v="Sarah Lee"/>
    <n v="71029"/>
    <n v="14"/>
    <n v="0"/>
    <x v="3"/>
    <n v="6"/>
    <d v="2021-10-08T00:00:00"/>
    <m/>
    <x v="0"/>
  </r>
  <r>
    <n v="1886"/>
    <n v="60"/>
    <s v="Male"/>
    <x v="5"/>
    <s v="Manager"/>
    <s v="Ahmad Hassan"/>
    <n v="94909"/>
    <n v="9"/>
    <n v="0"/>
    <x v="1"/>
    <n v="8"/>
    <d v="2016-06-24T00:00:00"/>
    <d v="2020-02-13T00:00:00"/>
    <x v="1"/>
  </r>
  <r>
    <n v="1887"/>
    <n v="36"/>
    <s v="Female"/>
    <x v="3"/>
    <s v="Senior Analyst"/>
    <s v="Fatima Noor"/>
    <n v="68648"/>
    <n v="15"/>
    <n v="6"/>
    <x v="3"/>
    <n v="4"/>
    <d v="2023-05-02T00:00:00"/>
    <m/>
    <x v="0"/>
  </r>
  <r>
    <n v="1888"/>
    <n v="34"/>
    <s v="Female"/>
    <x v="3"/>
    <s v="Specialist"/>
    <s v="Emily Brown"/>
    <n v="57753"/>
    <n v="20"/>
    <n v="28"/>
    <x v="5"/>
    <n v="3"/>
    <d v="2018-06-18T00:00:00"/>
    <m/>
    <x v="0"/>
  </r>
  <r>
    <n v="1889"/>
    <n v="23"/>
    <s v="Female"/>
    <x v="3"/>
    <s v="Specialist"/>
    <s v="Sarah Lee"/>
    <n v="84214"/>
    <n v="7"/>
    <n v="39"/>
    <x v="0"/>
    <n v="3"/>
    <d v="2015-03-07T00:00:00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47DC31-8249-4AC0-AEDB-93EBD885EBD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5:E18" firstHeaderRow="1" firstDataRow="1" firstDataCol="1"/>
  <pivotFields count="14">
    <pivotField showAll="0"/>
    <pivotField showAll="0"/>
    <pivotField showAll="0"/>
    <pivotField showAll="0">
      <items count="7">
        <item x="5"/>
        <item x="4"/>
        <item x="2"/>
        <item x="3"/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numFmtId="14" showAll="0"/>
    <pivotField showAll="0"/>
    <pivotField axis="axisRow" showAll="0">
      <items count="3">
        <item x="0"/>
        <item x="1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Average of Salary" fld="6" subtotal="average" baseField="1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DC9F18-96CA-4515-AC0D-443C59ABA098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D3:E9" firstHeaderRow="1" firstDataRow="1" firstDataCol="1"/>
  <pivotFields count="1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3"/>
        <item x="0"/>
        <item x="1"/>
        <item x="5"/>
        <item h="1" x="4"/>
        <item t="default"/>
      </items>
    </pivotField>
    <pivotField showAll="0"/>
    <pivotField numFmtId="14" showAll="0"/>
    <pivotField showAll="0"/>
    <pivotField showAll="0">
      <items count="3">
        <item h="1" x="0"/>
        <item x="1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loyee ID" fld="0" subtotal="count" baseField="9" baseItem="0"/>
  </dataFields>
  <chartFormats count="2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57F552-FF72-4665-AD0B-E9BBEEE18B68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:B26" firstHeaderRow="1" firstDataRow="1" firstDataCol="1"/>
  <pivotFields count="1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axis="axisRow" showAll="0">
      <items count="3">
        <item x="0"/>
        <item x="1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Count of Employee ID" fld="0" subtotal="count" baseField="1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798850-C688-42BF-97AB-FB6223E9ED2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3:B20" firstHeaderRow="1" firstDataRow="1" firstDataCol="1"/>
  <pivotFields count="13">
    <pivotField dataField="1" showAll="0">
      <items count="8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t="default"/>
      </items>
    </pivotField>
    <pivotField showAll="0"/>
    <pivotField showAll="0"/>
    <pivotField axis="axisRow" showAll="0">
      <items count="7">
        <item x="5"/>
        <item x="4"/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mployee ID" fld="0" subtotal="count" baseField="3" baseItem="0"/>
  </dataFields>
  <chartFormats count="8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3BCE80-2BE7-4851-B1ED-0C3815076F3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10" firstHeaderRow="1" firstDataRow="1" firstDataCol="1"/>
  <pivotFields count="13">
    <pivotField showAll="0"/>
    <pivotField showAll="0"/>
    <pivotField showAll="0"/>
    <pivotField axis="axisRow" showAll="0">
      <items count="7">
        <item x="5"/>
        <item x="4"/>
        <item x="2"/>
        <item x="3"/>
        <item x="1"/>
        <item x="0"/>
        <item t="default"/>
      </items>
    </pivotField>
    <pivotField showAll="0"/>
    <pivotField showAll="0"/>
    <pivotField dataField="1" showAll="0">
      <items count="882">
        <item x="1"/>
        <item x="341"/>
        <item x="645"/>
        <item x="26"/>
        <item x="756"/>
        <item x="85"/>
        <item x="711"/>
        <item x="114"/>
        <item x="260"/>
        <item x="545"/>
        <item x="568"/>
        <item x="61"/>
        <item x="284"/>
        <item x="730"/>
        <item x="296"/>
        <item x="447"/>
        <item x="562"/>
        <item x="357"/>
        <item x="790"/>
        <item x="18"/>
        <item x="431"/>
        <item x="783"/>
        <item x="821"/>
        <item x="253"/>
        <item x="111"/>
        <item x="96"/>
        <item x="755"/>
        <item x="823"/>
        <item x="273"/>
        <item x="292"/>
        <item x="716"/>
        <item x="775"/>
        <item x="824"/>
        <item x="430"/>
        <item x="304"/>
        <item x="687"/>
        <item x="816"/>
        <item x="10"/>
        <item x="798"/>
        <item x="696"/>
        <item x="32"/>
        <item x="822"/>
        <item x="685"/>
        <item x="529"/>
        <item x="348"/>
        <item x="560"/>
        <item x="140"/>
        <item x="664"/>
        <item x="667"/>
        <item x="569"/>
        <item x="830"/>
        <item x="17"/>
        <item x="279"/>
        <item x="231"/>
        <item x="376"/>
        <item x="310"/>
        <item x="592"/>
        <item x="251"/>
        <item x="368"/>
        <item x="776"/>
        <item x="103"/>
        <item x="218"/>
        <item x="151"/>
        <item x="663"/>
        <item x="197"/>
        <item x="82"/>
        <item x="626"/>
        <item x="155"/>
        <item x="214"/>
        <item x="179"/>
        <item x="501"/>
        <item x="262"/>
        <item x="842"/>
        <item x="366"/>
        <item x="654"/>
        <item x="349"/>
        <item x="297"/>
        <item x="420"/>
        <item x="480"/>
        <item x="677"/>
        <item x="578"/>
        <item x="258"/>
        <item x="864"/>
        <item x="354"/>
        <item x="233"/>
        <item x="493"/>
        <item x="382"/>
        <item x="446"/>
        <item x="705"/>
        <item x="812"/>
        <item x="575"/>
        <item x="750"/>
        <item x="454"/>
        <item x="481"/>
        <item x="207"/>
        <item x="92"/>
        <item x="313"/>
        <item x="841"/>
        <item x="567"/>
        <item x="235"/>
        <item x="763"/>
        <item x="518"/>
        <item x="740"/>
        <item x="507"/>
        <item x="393"/>
        <item x="498"/>
        <item x="384"/>
        <item x="550"/>
        <item x="130"/>
        <item x="396"/>
        <item x="648"/>
        <item x="804"/>
        <item x="437"/>
        <item x="818"/>
        <item x="287"/>
        <item x="586"/>
        <item x="149"/>
        <item x="308"/>
        <item x="198"/>
        <item x="50"/>
        <item x="416"/>
        <item x="177"/>
        <item x="164"/>
        <item x="339"/>
        <item x="241"/>
        <item x="71"/>
        <item x="67"/>
        <item x="591"/>
        <item x="599"/>
        <item x="38"/>
        <item x="714"/>
        <item x="442"/>
        <item x="141"/>
        <item x="402"/>
        <item x="688"/>
        <item x="171"/>
        <item x="105"/>
        <item x="546"/>
        <item x="321"/>
        <item x="157"/>
        <item x="352"/>
        <item x="208"/>
        <item x="13"/>
        <item x="738"/>
        <item x="832"/>
        <item x="411"/>
        <item x="261"/>
        <item x="110"/>
        <item x="609"/>
        <item x="54"/>
        <item x="839"/>
        <item x="367"/>
        <item x="168"/>
        <item x="874"/>
        <item x="194"/>
        <item x="512"/>
        <item x="514"/>
        <item x="572"/>
        <item x="469"/>
        <item x="708"/>
        <item x="2"/>
        <item x="666"/>
        <item x="848"/>
        <item x="34"/>
        <item x="628"/>
        <item x="858"/>
        <item x="453"/>
        <item x="566"/>
        <item x="77"/>
        <item x="806"/>
        <item x="128"/>
        <item x="879"/>
        <item x="515"/>
        <item x="115"/>
        <item x="405"/>
        <item x="600"/>
        <item x="228"/>
        <item x="753"/>
        <item x="373"/>
        <item x="39"/>
        <item x="455"/>
        <item x="744"/>
        <item x="614"/>
        <item x="121"/>
        <item x="872"/>
        <item x="64"/>
        <item x="702"/>
        <item x="845"/>
        <item x="47"/>
        <item x="564"/>
        <item x="678"/>
        <item x="22"/>
        <item x="606"/>
        <item x="277"/>
        <item x="464"/>
        <item x="267"/>
        <item x="220"/>
        <item x="857"/>
        <item x="495"/>
        <item x="735"/>
        <item x="598"/>
        <item x="301"/>
        <item x="694"/>
        <item x="358"/>
        <item x="718"/>
        <item x="766"/>
        <item x="608"/>
        <item x="97"/>
        <item x="602"/>
        <item x="539"/>
        <item x="761"/>
        <item x="867"/>
        <item x="3"/>
        <item x="269"/>
        <item x="769"/>
        <item x="655"/>
        <item x="309"/>
        <item x="425"/>
        <item x="659"/>
        <item x="668"/>
        <item x="691"/>
        <item x="757"/>
        <item x="471"/>
        <item x="180"/>
        <item x="863"/>
        <item x="859"/>
        <item x="525"/>
        <item x="257"/>
        <item x="682"/>
        <item x="323"/>
        <item x="621"/>
        <item x="607"/>
        <item x="404"/>
        <item x="63"/>
        <item x="713"/>
        <item x="531"/>
        <item x="221"/>
        <item x="259"/>
        <item x="9"/>
        <item x="23"/>
        <item x="721"/>
        <item x="767"/>
        <item x="223"/>
        <item x="44"/>
        <item x="630"/>
        <item x="37"/>
        <item x="838"/>
        <item x="559"/>
        <item x="399"/>
        <item x="102"/>
        <item x="342"/>
        <item x="460"/>
        <item x="215"/>
        <item x="406"/>
        <item x="359"/>
        <item x="272"/>
        <item x="440"/>
        <item x="579"/>
        <item x="135"/>
        <item x="362"/>
        <item x="239"/>
        <item x="89"/>
        <item x="610"/>
        <item x="787"/>
        <item x="851"/>
        <item x="693"/>
        <item x="652"/>
        <item x="387"/>
        <item x="862"/>
        <item x="625"/>
        <item x="101"/>
        <item x="473"/>
        <item x="748"/>
        <item x="8"/>
        <item x="846"/>
        <item x="554"/>
        <item x="195"/>
        <item x="139"/>
        <item x="457"/>
        <item x="412"/>
        <item x="483"/>
        <item x="814"/>
        <item x="587"/>
        <item x="439"/>
        <item x="672"/>
        <item x="123"/>
        <item x="466"/>
        <item x="692"/>
        <item x="289"/>
        <item x="413"/>
        <item x="640"/>
        <item x="119"/>
        <item x="504"/>
        <item x="196"/>
        <item x="291"/>
        <item x="661"/>
        <item x="878"/>
        <item x="596"/>
        <item x="710"/>
        <item x="363"/>
        <item x="212"/>
        <item x="557"/>
        <item x="162"/>
        <item x="616"/>
        <item x="474"/>
        <item x="497"/>
        <item x="695"/>
        <item x="124"/>
        <item x="390"/>
        <item x="788"/>
        <item x="243"/>
        <item x="726"/>
        <item x="724"/>
        <item x="618"/>
        <item x="240"/>
        <item x="331"/>
        <item x="345"/>
        <item x="601"/>
        <item x="656"/>
        <item x="245"/>
        <item x="637"/>
        <item x="632"/>
        <item x="797"/>
        <item x="876"/>
        <item x="770"/>
        <item x="444"/>
        <item x="35"/>
        <item x="53"/>
        <item x="741"/>
        <item x="746"/>
        <item x="541"/>
        <item x="441"/>
        <item x="623"/>
        <item x="322"/>
        <item x="167"/>
        <item x="737"/>
        <item x="302"/>
        <item x="41"/>
        <item x="320"/>
        <item x="98"/>
        <item x="224"/>
        <item x="161"/>
        <item x="158"/>
        <item x="100"/>
        <item x="774"/>
        <item x="699"/>
        <item x="698"/>
        <item x="294"/>
        <item x="528"/>
        <item x="109"/>
        <item x="69"/>
        <item x="76"/>
        <item x="318"/>
        <item x="736"/>
        <item x="392"/>
        <item x="371"/>
        <item x="771"/>
        <item x="336"/>
        <item x="860"/>
        <item x="712"/>
        <item x="786"/>
        <item x="585"/>
        <item x="791"/>
        <item x="256"/>
        <item x="475"/>
        <item x="720"/>
        <item x="745"/>
        <item x="225"/>
        <item x="500"/>
        <item x="826"/>
        <item x="796"/>
        <item x="427"/>
        <item x="28"/>
        <item x="244"/>
        <item x="751"/>
        <item x="188"/>
        <item x="417"/>
        <item x="467"/>
        <item x="743"/>
        <item x="855"/>
        <item x="555"/>
        <item x="487"/>
        <item x="631"/>
        <item x="450"/>
        <item x="94"/>
        <item x="93"/>
        <item x="561"/>
        <item x="252"/>
        <item x="125"/>
        <item x="544"/>
        <item x="385"/>
        <item x="66"/>
        <item x="517"/>
        <item x="283"/>
        <item x="247"/>
        <item x="764"/>
        <item x="65"/>
        <item x="210"/>
        <item x="324"/>
        <item x="350"/>
        <item x="805"/>
        <item x="527"/>
        <item x="43"/>
        <item x="276"/>
        <item x="153"/>
        <item x="777"/>
        <item x="535"/>
        <item x="651"/>
        <item x="451"/>
        <item x="589"/>
        <item x="547"/>
        <item x="144"/>
        <item x="489"/>
        <item x="679"/>
        <item x="479"/>
        <item x="55"/>
        <item x="156"/>
        <item x="478"/>
        <item x="522"/>
        <item x="127"/>
        <item x="216"/>
        <item x="784"/>
        <item x="558"/>
        <item x="537"/>
        <item x="462"/>
        <item x="794"/>
        <item x="227"/>
        <item x="496"/>
        <item x="856"/>
        <item x="394"/>
        <item x="540"/>
        <item x="634"/>
        <item x="264"/>
        <item x="723"/>
        <item x="852"/>
        <item x="31"/>
        <item x="494"/>
        <item x="175"/>
        <item x="213"/>
        <item x="584"/>
        <item x="434"/>
        <item x="185"/>
        <item x="176"/>
        <item x="30"/>
        <item x="414"/>
        <item x="422"/>
        <item x="181"/>
        <item x="160"/>
        <item x="503"/>
        <item x="662"/>
        <item x="520"/>
        <item x="118"/>
        <item x="604"/>
        <item x="697"/>
        <item x="758"/>
        <item x="419"/>
        <item x="70"/>
        <item x="519"/>
        <item x="778"/>
        <item x="573"/>
        <item x="701"/>
        <item x="327"/>
        <item x="178"/>
        <item x="192"/>
        <item x="319"/>
        <item x="346"/>
        <item x="57"/>
        <item x="380"/>
        <item x="255"/>
        <item x="802"/>
        <item x="36"/>
        <item x="311"/>
        <item x="595"/>
        <item x="644"/>
        <item x="759"/>
        <item x="646"/>
        <item x="703"/>
        <item x="511"/>
        <item x="360"/>
        <item x="379"/>
        <item x="834"/>
        <item x="509"/>
        <item x="853"/>
        <item x="386"/>
        <item x="332"/>
        <item x="869"/>
        <item x="526"/>
        <item x="347"/>
        <item x="809"/>
        <item x="170"/>
        <item x="463"/>
        <item x="335"/>
        <item x="653"/>
        <item x="361"/>
        <item x="593"/>
        <item x="524"/>
        <item x="747"/>
        <item x="491"/>
        <item x="90"/>
        <item x="407"/>
        <item x="290"/>
        <item x="202"/>
        <item x="238"/>
        <item x="46"/>
        <item x="819"/>
        <item x="508"/>
        <item x="470"/>
        <item x="172"/>
        <item x="365"/>
        <item x="835"/>
        <item x="344"/>
        <item x="676"/>
        <item x="754"/>
        <item x="7"/>
        <item x="426"/>
        <item x="49"/>
        <item x="868"/>
        <item x="91"/>
        <item x="403"/>
        <item x="328"/>
        <item x="113"/>
        <item x="728"/>
        <item x="556"/>
        <item x="831"/>
        <item x="21"/>
        <item x="727"/>
        <item x="563"/>
        <item x="142"/>
        <item x="410"/>
        <item x="314"/>
        <item x="353"/>
        <item x="183"/>
        <item x="880"/>
        <item x="502"/>
        <item x="513"/>
        <item x="356"/>
        <item x="486"/>
        <item x="657"/>
        <item x="428"/>
        <item x="739"/>
        <item x="288"/>
        <item x="299"/>
        <item x="374"/>
        <item x="29"/>
        <item x="152"/>
        <item x="553"/>
        <item x="619"/>
        <item x="16"/>
        <item x="801"/>
        <item x="533"/>
        <item x="122"/>
        <item x="375"/>
        <item x="669"/>
        <item x="316"/>
        <item x="217"/>
        <item x="281"/>
        <item x="552"/>
        <item x="62"/>
        <item x="532"/>
        <item x="581"/>
        <item x="681"/>
        <item x="116"/>
        <item x="81"/>
        <item x="378"/>
        <item x="242"/>
        <item x="465"/>
        <item x="583"/>
        <item x="275"/>
        <item x="84"/>
        <item x="683"/>
        <item x="199"/>
        <item x="237"/>
        <item x="369"/>
        <item x="773"/>
        <item x="174"/>
        <item x="298"/>
        <item x="80"/>
        <item x="499"/>
        <item x="534"/>
        <item x="731"/>
        <item x="108"/>
        <item x="254"/>
        <item x="389"/>
        <item x="650"/>
        <item x="760"/>
        <item x="833"/>
        <item x="793"/>
        <item x="548"/>
        <item x="707"/>
        <item x="143"/>
        <item x="789"/>
        <item x="79"/>
        <item x="811"/>
        <item x="432"/>
        <item x="435"/>
        <item x="847"/>
        <item x="186"/>
        <item x="381"/>
        <item x="620"/>
        <item x="134"/>
        <item x="488"/>
        <item x="472"/>
        <item x="772"/>
        <item x="6"/>
        <item x="719"/>
        <item x="187"/>
        <item x="799"/>
        <item x="99"/>
        <item x="278"/>
        <item x="706"/>
        <item x="505"/>
        <item x="484"/>
        <item x="40"/>
        <item x="14"/>
        <item x="193"/>
        <item x="717"/>
        <item x="861"/>
        <item x="343"/>
        <item x="317"/>
        <item x="138"/>
        <item x="605"/>
        <item x="636"/>
        <item x="866"/>
        <item x="671"/>
        <item x="112"/>
        <item x="68"/>
        <item x="129"/>
        <item x="433"/>
        <item x="325"/>
        <item x="829"/>
        <item x="282"/>
        <item x="482"/>
        <item x="675"/>
        <item x="459"/>
        <item x="334"/>
        <item x="622"/>
        <item x="132"/>
        <item x="20"/>
        <item x="182"/>
        <item x="338"/>
        <item x="72"/>
        <item x="639"/>
        <item x="689"/>
        <item x="576"/>
        <item x="438"/>
        <item x="837"/>
        <item x="150"/>
        <item x="574"/>
        <item x="828"/>
        <item x="146"/>
        <item x="800"/>
        <item x="52"/>
        <item x="443"/>
        <item x="248"/>
        <item x="629"/>
        <item x="397"/>
        <item x="590"/>
        <item x="615"/>
        <item x="340"/>
        <item x="461"/>
        <item x="749"/>
        <item x="246"/>
        <item x="137"/>
        <item x="190"/>
        <item x="647"/>
        <item x="315"/>
        <item x="733"/>
        <item x="78"/>
        <item x="163"/>
        <item x="436"/>
        <item x="388"/>
        <item x="729"/>
        <item x="670"/>
        <item x="445"/>
        <item x="408"/>
        <item x="285"/>
        <item x="306"/>
        <item x="795"/>
        <item x="27"/>
        <item x="825"/>
        <item x="286"/>
        <item x="234"/>
        <item x="803"/>
        <item x="492"/>
        <item x="59"/>
        <item x="871"/>
        <item x="303"/>
        <item x="642"/>
        <item x="329"/>
        <item x="95"/>
        <item x="409"/>
        <item x="649"/>
        <item x="612"/>
        <item x="452"/>
        <item x="658"/>
        <item x="877"/>
        <item x="266"/>
        <item x="549"/>
        <item x="704"/>
        <item x="865"/>
        <item x="229"/>
        <item x="817"/>
        <item x="700"/>
        <item x="401"/>
        <item x="516"/>
        <item x="810"/>
        <item x="330"/>
        <item x="145"/>
        <item x="184"/>
        <item x="75"/>
        <item x="732"/>
        <item x="785"/>
        <item x="351"/>
        <item x="211"/>
        <item x="120"/>
        <item x="424"/>
        <item x="588"/>
        <item x="191"/>
        <item x="684"/>
        <item x="624"/>
        <item x="117"/>
        <item x="0"/>
        <item x="813"/>
        <item x="762"/>
        <item x="485"/>
        <item x="582"/>
        <item x="203"/>
        <item x="222"/>
        <item x="83"/>
        <item x="147"/>
        <item x="391"/>
        <item x="580"/>
        <item x="19"/>
        <item x="680"/>
        <item x="60"/>
        <item x="104"/>
        <item x="850"/>
        <item x="536"/>
        <item x="51"/>
        <item x="312"/>
        <item x="421"/>
        <item x="107"/>
        <item x="844"/>
        <item x="24"/>
        <item x="326"/>
        <item x="165"/>
        <item x="154"/>
        <item x="458"/>
        <item x="226"/>
        <item x="456"/>
        <item x="86"/>
        <item x="570"/>
        <item x="201"/>
        <item x="873"/>
        <item x="355"/>
        <item x="734"/>
        <item x="11"/>
        <item x="477"/>
        <item x="274"/>
        <item x="106"/>
        <item x="270"/>
        <item x="849"/>
        <item x="742"/>
        <item x="523"/>
        <item x="418"/>
        <item x="232"/>
        <item x="820"/>
        <item x="635"/>
        <item x="12"/>
        <item x="415"/>
        <item x="779"/>
        <item x="25"/>
        <item x="781"/>
        <item x="673"/>
        <item x="166"/>
        <item x="87"/>
        <item x="854"/>
        <item x="300"/>
        <item x="468"/>
        <item x="660"/>
        <item x="510"/>
        <item x="395"/>
        <item x="148"/>
        <item x="709"/>
        <item x="571"/>
        <item x="429"/>
        <item x="765"/>
        <item x="617"/>
        <item x="597"/>
        <item x="219"/>
        <item x="88"/>
        <item x="674"/>
        <item x="870"/>
        <item x="173"/>
        <item x="725"/>
        <item x="782"/>
        <item x="265"/>
        <item x="58"/>
        <item x="131"/>
        <item x="4"/>
        <item x="875"/>
        <item x="169"/>
        <item x="280"/>
        <item x="200"/>
        <item x="271"/>
        <item x="204"/>
        <item x="815"/>
        <item x="448"/>
        <item x="33"/>
        <item x="236"/>
        <item x="603"/>
        <item x="565"/>
        <item x="638"/>
        <item x="295"/>
        <item x="364"/>
        <item x="530"/>
        <item x="613"/>
        <item x="250"/>
        <item x="56"/>
        <item x="577"/>
        <item x="133"/>
        <item x="643"/>
        <item x="370"/>
        <item x="15"/>
        <item x="263"/>
        <item x="372"/>
        <item x="206"/>
        <item x="337"/>
        <item x="843"/>
        <item x="633"/>
        <item x="807"/>
        <item x="715"/>
        <item x="686"/>
        <item x="205"/>
        <item x="521"/>
        <item x="74"/>
        <item x="836"/>
        <item x="551"/>
        <item x="641"/>
        <item x="268"/>
        <item x="611"/>
        <item x="594"/>
        <item x="665"/>
        <item x="780"/>
        <item x="189"/>
        <item x="449"/>
        <item x="42"/>
        <item x="159"/>
        <item x="307"/>
        <item x="305"/>
        <item x="808"/>
        <item x="627"/>
        <item x="423"/>
        <item x="690"/>
        <item x="377"/>
        <item x="230"/>
        <item x="209"/>
        <item x="768"/>
        <item x="538"/>
        <item x="73"/>
        <item x="506"/>
        <item x="722"/>
        <item x="543"/>
        <item x="293"/>
        <item x="400"/>
        <item x="249"/>
        <item x="383"/>
        <item x="476"/>
        <item x="136"/>
        <item x="45"/>
        <item x="398"/>
        <item x="333"/>
        <item x="490"/>
        <item x="542"/>
        <item x="5"/>
        <item x="792"/>
        <item x="752"/>
        <item x="126"/>
        <item x="827"/>
        <item x="48"/>
        <item x="840"/>
        <item t="default"/>
      </items>
    </pivotField>
    <pivotField showAll="0"/>
    <pivotField showAll="0"/>
    <pivotField showAll="0"/>
    <pivotField showAll="0"/>
    <pivotField numFmtId="22"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Salary" fld="6" subtotal="average" baseField="0" baseItem="0"/>
  </dataFields>
  <chartFormats count="1"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1FD657-EF59-4F78-8A4F-8B8B8886E2AF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21:G29" firstHeaderRow="1" firstDataRow="2" firstDataCol="1"/>
  <pivotFields count="14">
    <pivotField showAll="0"/>
    <pivotField showAll="0"/>
    <pivotField showAll="0"/>
    <pivotField axis="axisRow" dataField="1" showAll="0">
      <items count="7">
        <item x="5"/>
        <item x="4"/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axis="axisCol" showAll="0">
      <items count="3">
        <item x="0"/>
        <item x="1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Department" fld="3" subtotal="count" baseField="0" baseItem="0"/>
  </dataFields>
  <chartFormats count="4"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C3EF11-812C-4987-B4F3-D36409086B07}" name="Table2" displayName="Table2" ref="A1:M890" totalsRowShown="0">
  <autoFilter ref="A1:M890" xr:uid="{D4C3EF11-812C-4987-B4F3-D36409086B07}"/>
  <tableColumns count="13">
    <tableColumn id="1" xr3:uid="{6131C508-4045-49AC-BF2D-3474041E272F}" name="Employee ID"/>
    <tableColumn id="2" xr3:uid="{91DFC34B-8109-4725-829D-A821770F3F55}" name="Age"/>
    <tableColumn id="14" xr3:uid="{17B2B88B-920E-493A-8E29-F52821B6CFFE}" name="Gender" dataDxfId="11"/>
    <tableColumn id="10" xr3:uid="{63E0ED5C-F44A-4BF3-98E1-5565ECEE69D9}" name="Department" dataDxfId="10"/>
    <tableColumn id="11" xr3:uid="{6FAE61C2-C56F-40B2-988D-2A38829A075F}" name="Role" dataDxfId="9"/>
    <tableColumn id="12" xr3:uid="{C9AF921B-8574-43FC-989E-1B5EF3848A79}" name="Manager" dataDxfId="8"/>
    <tableColumn id="3" xr3:uid="{02551B93-357C-49E2-8D68-D9CFDC59FFCF}" name="Salary"/>
    <tableColumn id="4" xr3:uid="{E2CDF9A0-D346-44AF-AC37-85F714A6F64D}" name="Absences"/>
    <tableColumn id="5" xr3:uid="{A3AEF143-97C4-4E40-8087-BE85A942B336}" name="Overtime Hours"/>
    <tableColumn id="6" xr3:uid="{448BFCA2-34DE-439C-8C56-2DDC9450EBC0}" name="Performance Rating"/>
    <tableColumn id="7" xr3:uid="{CC2A20EA-8057-42CB-AFFB-78FEE4B83F90}" name="Satisfaction Score"/>
    <tableColumn id="8" xr3:uid="{8C0C2C94-3EEF-4089-8539-9FE2A935305D}" name="Hire Date" dataDxfId="7"/>
    <tableColumn id="9" xr3:uid="{24887D0A-3DF5-442C-B01E-587AC7101760}" name="Exit Date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7591A24-824F-4C06-B2BF-E20F982D4221}" name="Table2_4" displayName="Table2_4" ref="A1:N890" totalsRowShown="0">
  <autoFilter ref="A1:N890" xr:uid="{C7591A24-824F-4C06-B2BF-E20F982D4221}"/>
  <tableColumns count="14">
    <tableColumn id="1" xr3:uid="{2BF46029-37EC-48B3-B3FC-13869806E9DD}" name="Employee ID"/>
    <tableColumn id="2" xr3:uid="{C26AE5F8-D5FB-43DD-8893-FDEF0E31F07C}" name="Age"/>
    <tableColumn id="3" xr3:uid="{26D99999-2D1C-436C-BB05-BD3267D36BD8}" name="Gender" dataDxfId="5"/>
    <tableColumn id="4" xr3:uid="{170B9D9A-C0DE-4DE5-BA52-913C4B9F092A}" name="Department" dataDxfId="4"/>
    <tableColumn id="5" xr3:uid="{89076E85-A47D-422F-A389-ADFAF188EC88}" name="Role" dataDxfId="3"/>
    <tableColumn id="6" xr3:uid="{04FB5559-DA61-4FDF-A057-7C4746CD9622}" name="Manager" dataDxfId="2"/>
    <tableColumn id="7" xr3:uid="{61FCC519-B2A4-4C04-A0FD-43F9A0075C29}" name="Salary"/>
    <tableColumn id="8" xr3:uid="{303537DF-E28B-447A-ACA5-E6E39B4A978B}" name="Absences"/>
    <tableColumn id="9" xr3:uid="{5D177870-8BED-4EF0-9262-A7F7A256F7E2}" name="Overtime Hours"/>
    <tableColumn id="10" xr3:uid="{1F50D8D2-B49B-4555-A268-FDDC6A43214D}" name="Performance Rating"/>
    <tableColumn id="11" xr3:uid="{184189B0-1068-49BC-B371-439750E75D10}" name="Satisfaction Score"/>
    <tableColumn id="12" xr3:uid="{AEDCC3CD-0C5A-4983-AE9C-B38BCAA9C57D}" name="Hire Date" dataDxfId="1"/>
    <tableColumn id="13" xr3:uid="{69EB2326-32EE-4CCE-8463-81D4C7A9ADB0}" name="Exit Date" dataDxfId="0"/>
    <tableColumn id="14" xr3:uid="{8C376A0B-E7DE-4160-85BA-06E5BA493440}" name="Employment Statu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64155-AF78-498E-B94F-DDD5A50EB17F}">
  <dimension ref="A1:M890"/>
  <sheetViews>
    <sheetView tabSelected="1" zoomScale="83" workbookViewId="0">
      <selection activeCell="R12" sqref="R12"/>
    </sheetView>
  </sheetViews>
  <sheetFormatPr defaultRowHeight="15" x14ac:dyDescent="0.25"/>
  <cols>
    <col min="1" max="1" width="14.5703125" customWidth="1"/>
    <col min="2" max="2" width="9.5703125" customWidth="1"/>
    <col min="3" max="5" width="14.5703125" customWidth="1"/>
    <col min="6" max="6" width="14.42578125" bestFit="1" customWidth="1"/>
    <col min="8" max="8" width="11.85546875" customWidth="1"/>
    <col min="9" max="9" width="17.42578125" customWidth="1"/>
    <col min="10" max="10" width="20.85546875" customWidth="1"/>
    <col min="11" max="11" width="19.42578125" customWidth="1"/>
    <col min="12" max="12" width="11.7109375" customWidth="1"/>
    <col min="13" max="13" width="11.28515625" customWidth="1"/>
  </cols>
  <sheetData>
    <row r="1" spans="1:13" x14ac:dyDescent="0.25">
      <c r="A1" t="s">
        <v>0</v>
      </c>
      <c r="B1" t="s">
        <v>1</v>
      </c>
      <c r="C1" t="s">
        <v>30</v>
      </c>
      <c r="D1" t="s">
        <v>10</v>
      </c>
      <c r="E1" t="s">
        <v>11</v>
      </c>
      <c r="F1" t="s">
        <v>12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 spans="1:13" x14ac:dyDescent="0.25">
      <c r="A2">
        <v>1001</v>
      </c>
      <c r="B2">
        <v>22</v>
      </c>
      <c r="C2" t="s">
        <v>31</v>
      </c>
      <c r="D2" t="s">
        <v>22</v>
      </c>
      <c r="E2" t="s">
        <v>25</v>
      </c>
      <c r="F2" t="s">
        <v>40</v>
      </c>
      <c r="G2">
        <v>96883</v>
      </c>
      <c r="H2">
        <v>24</v>
      </c>
      <c r="I2">
        <v>43</v>
      </c>
      <c r="J2">
        <v>3</v>
      </c>
      <c r="K2">
        <v>9</v>
      </c>
      <c r="L2" s="1">
        <v>44280</v>
      </c>
      <c r="M2" s="1" t="s">
        <v>9</v>
      </c>
    </row>
    <row r="3" spans="1:13" x14ac:dyDescent="0.25">
      <c r="A3">
        <v>1002</v>
      </c>
      <c r="B3">
        <v>32</v>
      </c>
      <c r="C3" t="s">
        <v>31</v>
      </c>
      <c r="D3" t="s">
        <v>19</v>
      </c>
      <c r="E3" t="s">
        <v>25</v>
      </c>
      <c r="F3" t="s">
        <v>42</v>
      </c>
      <c r="G3">
        <v>45004</v>
      </c>
      <c r="H3">
        <v>17</v>
      </c>
      <c r="I3">
        <v>7</v>
      </c>
      <c r="J3">
        <v>4</v>
      </c>
      <c r="K3">
        <v>10</v>
      </c>
      <c r="L3" s="1">
        <v>42800</v>
      </c>
      <c r="M3" s="1">
        <v>44751</v>
      </c>
    </row>
    <row r="4" spans="1:13" x14ac:dyDescent="0.25">
      <c r="A4">
        <v>1003</v>
      </c>
      <c r="B4">
        <v>31</v>
      </c>
      <c r="C4" t="s">
        <v>37</v>
      </c>
      <c r="D4" t="s">
        <v>27</v>
      </c>
      <c r="E4" t="s">
        <v>28</v>
      </c>
      <c r="F4" t="s">
        <v>18</v>
      </c>
      <c r="G4">
        <v>57054</v>
      </c>
      <c r="H4">
        <v>12</v>
      </c>
      <c r="I4">
        <v>18</v>
      </c>
      <c r="J4">
        <v>1</v>
      </c>
      <c r="K4">
        <v>1</v>
      </c>
      <c r="L4" s="1">
        <v>45389</v>
      </c>
      <c r="M4" s="1" t="s">
        <v>9</v>
      </c>
    </row>
    <row r="5" spans="1:13" x14ac:dyDescent="0.25">
      <c r="A5">
        <v>1004</v>
      </c>
      <c r="B5">
        <v>34</v>
      </c>
      <c r="C5" t="s">
        <v>37</v>
      </c>
      <c r="D5" t="s">
        <v>16</v>
      </c>
      <c r="E5" t="s">
        <v>39</v>
      </c>
      <c r="F5" t="s">
        <v>21</v>
      </c>
      <c r="G5">
        <v>60564</v>
      </c>
      <c r="H5">
        <v>27</v>
      </c>
      <c r="I5">
        <v>6</v>
      </c>
      <c r="J5">
        <v>2</v>
      </c>
      <c r="K5">
        <v>2</v>
      </c>
      <c r="L5" s="1">
        <v>42579</v>
      </c>
      <c r="M5" s="1" t="s">
        <v>9</v>
      </c>
    </row>
    <row r="6" spans="1:13" x14ac:dyDescent="0.25">
      <c r="A6">
        <v>1005</v>
      </c>
      <c r="B6">
        <v>38</v>
      </c>
      <c r="C6" t="s">
        <v>32</v>
      </c>
      <c r="D6" t="s">
        <v>35</v>
      </c>
      <c r="E6" t="s">
        <v>14</v>
      </c>
      <c r="F6" t="s">
        <v>26</v>
      </c>
      <c r="G6">
        <v>103148</v>
      </c>
      <c r="H6">
        <v>2</v>
      </c>
      <c r="I6">
        <v>29</v>
      </c>
      <c r="J6">
        <v>2</v>
      </c>
      <c r="K6">
        <v>1</v>
      </c>
      <c r="L6" s="1">
        <v>43571</v>
      </c>
      <c r="M6" s="1">
        <v>42774</v>
      </c>
    </row>
    <row r="7" spans="1:13" x14ac:dyDescent="0.25">
      <c r="A7">
        <v>1006</v>
      </c>
      <c r="B7">
        <v>22</v>
      </c>
      <c r="C7" t="s">
        <v>32</v>
      </c>
      <c r="D7" t="s">
        <v>19</v>
      </c>
      <c r="E7" t="s">
        <v>14</v>
      </c>
      <c r="F7" t="s">
        <v>29</v>
      </c>
      <c r="G7">
        <v>109322</v>
      </c>
      <c r="H7">
        <v>1</v>
      </c>
      <c r="I7">
        <v>35</v>
      </c>
      <c r="J7">
        <v>3</v>
      </c>
      <c r="K7">
        <v>8</v>
      </c>
      <c r="L7" s="1">
        <v>45022</v>
      </c>
      <c r="M7" s="1" t="s">
        <v>9</v>
      </c>
    </row>
    <row r="8" spans="1:13" x14ac:dyDescent="0.25">
      <c r="A8">
        <v>1007</v>
      </c>
      <c r="B8">
        <v>59</v>
      </c>
      <c r="C8" t="s">
        <v>33</v>
      </c>
      <c r="D8" t="s">
        <v>13</v>
      </c>
      <c r="E8" t="s">
        <v>34</v>
      </c>
      <c r="F8" t="s">
        <v>21</v>
      </c>
      <c r="G8">
        <v>89178</v>
      </c>
      <c r="H8">
        <v>5</v>
      </c>
      <c r="I8">
        <v>14</v>
      </c>
      <c r="J8">
        <v>4</v>
      </c>
      <c r="K8">
        <v>4</v>
      </c>
      <c r="L8" s="1">
        <v>42802</v>
      </c>
      <c r="M8" s="1">
        <v>42760</v>
      </c>
    </row>
    <row r="9" spans="1:13" x14ac:dyDescent="0.25">
      <c r="A9">
        <v>1008</v>
      </c>
      <c r="B9">
        <v>27</v>
      </c>
      <c r="C9" t="s">
        <v>31</v>
      </c>
      <c r="D9" t="s">
        <v>22</v>
      </c>
      <c r="E9" t="s">
        <v>41</v>
      </c>
      <c r="F9" t="s">
        <v>15</v>
      </c>
      <c r="G9">
        <v>83409</v>
      </c>
      <c r="H9">
        <v>25</v>
      </c>
      <c r="I9">
        <v>58</v>
      </c>
      <c r="J9">
        <v>1</v>
      </c>
      <c r="K9">
        <v>10</v>
      </c>
      <c r="L9" s="1">
        <v>42667</v>
      </c>
      <c r="M9" s="1" t="s">
        <v>9</v>
      </c>
    </row>
    <row r="10" spans="1:13" x14ac:dyDescent="0.25">
      <c r="A10">
        <v>1009</v>
      </c>
      <c r="B10">
        <v>44</v>
      </c>
      <c r="C10" t="s">
        <v>32</v>
      </c>
      <c r="D10" t="s">
        <v>13</v>
      </c>
      <c r="E10" t="s">
        <v>28</v>
      </c>
      <c r="F10" t="s">
        <v>26</v>
      </c>
      <c r="G10">
        <v>66465</v>
      </c>
      <c r="H10">
        <v>21</v>
      </c>
      <c r="I10">
        <v>32</v>
      </c>
      <c r="J10" t="s">
        <v>9</v>
      </c>
      <c r="K10">
        <v>7</v>
      </c>
      <c r="L10" s="1">
        <v>44378</v>
      </c>
      <c r="M10" s="1" t="s">
        <v>9</v>
      </c>
    </row>
    <row r="11" spans="1:13" x14ac:dyDescent="0.25">
      <c r="A11">
        <v>1010</v>
      </c>
      <c r="B11">
        <v>49</v>
      </c>
      <c r="C11" t="s">
        <v>31</v>
      </c>
      <c r="D11" t="s">
        <v>19</v>
      </c>
      <c r="E11" t="s">
        <v>12</v>
      </c>
      <c r="F11" t="s">
        <v>26</v>
      </c>
      <c r="G11">
        <v>62677</v>
      </c>
      <c r="H11">
        <v>9</v>
      </c>
      <c r="I11">
        <v>42</v>
      </c>
      <c r="J11">
        <v>4</v>
      </c>
      <c r="K11">
        <v>7</v>
      </c>
      <c r="L11" s="1">
        <v>42225</v>
      </c>
      <c r="M11" s="1" t="s">
        <v>9</v>
      </c>
    </row>
    <row r="12" spans="1:13" x14ac:dyDescent="0.25">
      <c r="A12">
        <v>1011</v>
      </c>
      <c r="B12">
        <v>30</v>
      </c>
      <c r="C12" t="s">
        <v>33</v>
      </c>
      <c r="D12" t="s">
        <v>23</v>
      </c>
      <c r="E12" t="s">
        <v>41</v>
      </c>
      <c r="F12" t="s">
        <v>17</v>
      </c>
      <c r="G12">
        <v>48019</v>
      </c>
      <c r="H12">
        <v>12</v>
      </c>
      <c r="I12">
        <v>33</v>
      </c>
      <c r="J12">
        <v>3</v>
      </c>
      <c r="K12">
        <v>4</v>
      </c>
      <c r="L12" s="1">
        <v>45156</v>
      </c>
      <c r="M12" s="1" t="s">
        <v>9</v>
      </c>
    </row>
    <row r="13" spans="1:13" x14ac:dyDescent="0.25">
      <c r="A13">
        <v>1012</v>
      </c>
      <c r="B13">
        <v>49</v>
      </c>
      <c r="C13" t="s">
        <v>32</v>
      </c>
      <c r="D13" t="s">
        <v>16</v>
      </c>
      <c r="E13" t="s">
        <v>14</v>
      </c>
      <c r="F13" t="s">
        <v>26</v>
      </c>
      <c r="G13">
        <v>99941</v>
      </c>
      <c r="H13">
        <v>25</v>
      </c>
      <c r="I13">
        <v>26</v>
      </c>
      <c r="J13">
        <v>3</v>
      </c>
      <c r="K13">
        <v>3</v>
      </c>
      <c r="L13" s="1">
        <v>44794</v>
      </c>
      <c r="M13" s="1">
        <v>45352</v>
      </c>
    </row>
    <row r="14" spans="1:13" x14ac:dyDescent="0.25">
      <c r="A14">
        <v>1013</v>
      </c>
      <c r="B14">
        <v>50</v>
      </c>
      <c r="C14" t="s">
        <v>31</v>
      </c>
      <c r="D14" t="s">
        <v>13</v>
      </c>
      <c r="E14" t="s">
        <v>12</v>
      </c>
      <c r="F14" t="s">
        <v>29</v>
      </c>
      <c r="G14">
        <v>100930</v>
      </c>
      <c r="H14">
        <v>7</v>
      </c>
      <c r="I14">
        <v>44</v>
      </c>
      <c r="J14" t="s">
        <v>9</v>
      </c>
      <c r="K14">
        <v>7</v>
      </c>
      <c r="L14" s="1">
        <v>45566</v>
      </c>
      <c r="M14" s="1" t="s">
        <v>9</v>
      </c>
    </row>
    <row r="15" spans="1:13" x14ac:dyDescent="0.25">
      <c r="A15">
        <v>1014</v>
      </c>
      <c r="B15">
        <v>55</v>
      </c>
      <c r="C15" t="s">
        <v>32</v>
      </c>
      <c r="D15" t="s">
        <v>16</v>
      </c>
      <c r="E15" t="s">
        <v>12</v>
      </c>
      <c r="F15" t="s">
        <v>17</v>
      </c>
      <c r="G15">
        <v>56257</v>
      </c>
      <c r="H15">
        <v>14</v>
      </c>
      <c r="I15">
        <v>38</v>
      </c>
      <c r="J15">
        <v>5</v>
      </c>
      <c r="K15">
        <v>8</v>
      </c>
      <c r="L15" s="1">
        <v>42171</v>
      </c>
      <c r="M15" s="1" t="s">
        <v>9</v>
      </c>
    </row>
    <row r="16" spans="1:13" x14ac:dyDescent="0.25">
      <c r="A16">
        <v>1015</v>
      </c>
      <c r="B16">
        <v>39</v>
      </c>
      <c r="C16" t="s">
        <v>31</v>
      </c>
      <c r="D16" t="s">
        <v>35</v>
      </c>
      <c r="E16" t="s">
        <v>12</v>
      </c>
      <c r="F16" t="s">
        <v>18</v>
      </c>
      <c r="G16">
        <v>89670</v>
      </c>
      <c r="H16">
        <v>22</v>
      </c>
      <c r="I16">
        <v>26</v>
      </c>
      <c r="J16">
        <v>2</v>
      </c>
      <c r="K16">
        <v>10</v>
      </c>
      <c r="L16" s="1">
        <v>43995</v>
      </c>
      <c r="M16" s="1" t="s">
        <v>9</v>
      </c>
    </row>
    <row r="17" spans="1:13" x14ac:dyDescent="0.25">
      <c r="A17">
        <v>1016</v>
      </c>
      <c r="B17">
        <v>23</v>
      </c>
      <c r="C17" t="s">
        <v>32</v>
      </c>
      <c r="D17" t="s">
        <v>27</v>
      </c>
      <c r="E17" t="s">
        <v>39</v>
      </c>
      <c r="F17" t="s">
        <v>18</v>
      </c>
      <c r="G17">
        <v>104400</v>
      </c>
      <c r="H17">
        <v>12</v>
      </c>
      <c r="I17">
        <v>16</v>
      </c>
      <c r="J17">
        <v>2</v>
      </c>
      <c r="K17">
        <v>9</v>
      </c>
      <c r="L17" s="1">
        <v>44844</v>
      </c>
      <c r="M17" s="1">
        <v>44915</v>
      </c>
    </row>
    <row r="18" spans="1:13" x14ac:dyDescent="0.25">
      <c r="A18">
        <v>1017</v>
      </c>
      <c r="B18">
        <v>32</v>
      </c>
      <c r="C18" t="s">
        <v>32</v>
      </c>
      <c r="D18" t="s">
        <v>19</v>
      </c>
      <c r="E18" t="s">
        <v>20</v>
      </c>
      <c r="F18" t="s">
        <v>17</v>
      </c>
      <c r="G18">
        <v>85244</v>
      </c>
      <c r="H18">
        <v>20</v>
      </c>
      <c r="I18">
        <v>40</v>
      </c>
      <c r="J18" t="s">
        <v>9</v>
      </c>
      <c r="K18">
        <v>4</v>
      </c>
      <c r="L18" s="1">
        <v>44993</v>
      </c>
      <c r="M18" s="1">
        <v>44751</v>
      </c>
    </row>
    <row r="19" spans="1:13" x14ac:dyDescent="0.25">
      <c r="A19">
        <v>1018</v>
      </c>
      <c r="B19">
        <v>30</v>
      </c>
      <c r="C19" t="s">
        <v>32</v>
      </c>
      <c r="D19" t="s">
        <v>16</v>
      </c>
      <c r="E19" t="s">
        <v>25</v>
      </c>
      <c r="F19" t="s">
        <v>24</v>
      </c>
      <c r="G19">
        <v>49472</v>
      </c>
      <c r="H19">
        <v>28</v>
      </c>
      <c r="I19">
        <v>45</v>
      </c>
      <c r="J19">
        <v>1</v>
      </c>
      <c r="K19">
        <v>10</v>
      </c>
      <c r="L19" s="1">
        <v>45041</v>
      </c>
      <c r="M19" s="1" t="s">
        <v>9</v>
      </c>
    </row>
    <row r="20" spans="1:13" x14ac:dyDescent="0.25">
      <c r="A20">
        <v>1019</v>
      </c>
      <c r="B20">
        <v>23</v>
      </c>
      <c r="C20" t="s">
        <v>31</v>
      </c>
      <c r="D20" t="s">
        <v>36</v>
      </c>
      <c r="E20" t="s">
        <v>34</v>
      </c>
      <c r="F20" t="s">
        <v>18</v>
      </c>
      <c r="G20">
        <v>46860</v>
      </c>
      <c r="H20">
        <v>24</v>
      </c>
      <c r="I20">
        <v>3</v>
      </c>
      <c r="J20">
        <v>2</v>
      </c>
      <c r="K20">
        <v>7</v>
      </c>
      <c r="L20" s="1">
        <v>45571</v>
      </c>
      <c r="M20" s="1">
        <v>42641</v>
      </c>
    </row>
    <row r="21" spans="1:13" x14ac:dyDescent="0.25">
      <c r="A21">
        <v>1020</v>
      </c>
      <c r="B21">
        <v>59</v>
      </c>
      <c r="C21" t="s">
        <v>31</v>
      </c>
      <c r="D21" t="s">
        <v>27</v>
      </c>
      <c r="E21" t="s">
        <v>12</v>
      </c>
      <c r="F21" t="s">
        <v>18</v>
      </c>
      <c r="G21">
        <v>97764</v>
      </c>
      <c r="H21">
        <v>6</v>
      </c>
      <c r="I21">
        <v>2</v>
      </c>
      <c r="J21" t="s">
        <v>9</v>
      </c>
      <c r="K21">
        <v>1</v>
      </c>
      <c r="L21" s="1">
        <v>45111</v>
      </c>
      <c r="M21" s="1" t="s">
        <v>9</v>
      </c>
    </row>
    <row r="22" spans="1:13" x14ac:dyDescent="0.25">
      <c r="A22">
        <v>1021</v>
      </c>
      <c r="B22">
        <v>29</v>
      </c>
      <c r="C22" t="s">
        <v>31</v>
      </c>
      <c r="D22" t="s">
        <v>23</v>
      </c>
      <c r="E22" t="s">
        <v>12</v>
      </c>
      <c r="F22" t="s">
        <v>26</v>
      </c>
      <c r="G22">
        <v>45004</v>
      </c>
      <c r="H22">
        <v>29</v>
      </c>
      <c r="I22">
        <v>57</v>
      </c>
      <c r="J22">
        <v>4</v>
      </c>
      <c r="K22">
        <v>9</v>
      </c>
      <c r="L22" s="1">
        <v>45112</v>
      </c>
      <c r="M22" s="1" t="s">
        <v>9</v>
      </c>
    </row>
    <row r="23" spans="1:13" x14ac:dyDescent="0.25">
      <c r="A23">
        <v>1022</v>
      </c>
      <c r="B23">
        <v>22</v>
      </c>
      <c r="C23" t="s">
        <v>31</v>
      </c>
      <c r="D23" t="s">
        <v>22</v>
      </c>
      <c r="E23" t="s">
        <v>14</v>
      </c>
      <c r="F23" t="s">
        <v>15</v>
      </c>
      <c r="G23">
        <v>90697</v>
      </c>
      <c r="H23">
        <v>27</v>
      </c>
      <c r="I23">
        <v>20</v>
      </c>
      <c r="J23">
        <v>3</v>
      </c>
      <c r="K23">
        <v>9</v>
      </c>
      <c r="L23" s="1">
        <v>44014</v>
      </c>
      <c r="M23" s="1" t="s">
        <v>9</v>
      </c>
    </row>
    <row r="24" spans="1:13" x14ac:dyDescent="0.25">
      <c r="A24">
        <v>1023</v>
      </c>
      <c r="B24">
        <v>26</v>
      </c>
      <c r="C24" t="s">
        <v>32</v>
      </c>
      <c r="D24" t="s">
        <v>38</v>
      </c>
      <c r="E24" t="s">
        <v>25</v>
      </c>
      <c r="F24" t="s">
        <v>40</v>
      </c>
      <c r="G24">
        <v>83927</v>
      </c>
      <c r="H24">
        <v>20</v>
      </c>
      <c r="I24">
        <v>47</v>
      </c>
      <c r="J24">
        <v>4</v>
      </c>
      <c r="K24">
        <v>10</v>
      </c>
      <c r="L24" s="1">
        <v>43722</v>
      </c>
      <c r="M24" s="1" t="s">
        <v>9</v>
      </c>
    </row>
    <row r="25" spans="1:13" x14ac:dyDescent="0.25">
      <c r="A25">
        <v>1024</v>
      </c>
      <c r="B25">
        <v>24</v>
      </c>
      <c r="C25" t="s">
        <v>32</v>
      </c>
      <c r="D25" t="s">
        <v>22</v>
      </c>
      <c r="E25" t="s">
        <v>25</v>
      </c>
      <c r="F25" t="s">
        <v>42</v>
      </c>
      <c r="G25">
        <v>59112</v>
      </c>
      <c r="H25">
        <v>20</v>
      </c>
      <c r="I25">
        <v>4</v>
      </c>
      <c r="J25">
        <v>1</v>
      </c>
      <c r="K25">
        <v>2</v>
      </c>
      <c r="L25" s="1">
        <v>42904</v>
      </c>
      <c r="M25" s="1">
        <v>42791</v>
      </c>
    </row>
    <row r="26" spans="1:13" x14ac:dyDescent="0.25">
      <c r="A26">
        <v>1025</v>
      </c>
      <c r="B26">
        <v>33</v>
      </c>
      <c r="C26" t="s">
        <v>31</v>
      </c>
      <c r="D26" t="s">
        <v>36</v>
      </c>
      <c r="E26" t="s">
        <v>28</v>
      </c>
      <c r="F26" t="s">
        <v>17</v>
      </c>
      <c r="G26">
        <v>62733</v>
      </c>
      <c r="H26">
        <v>7</v>
      </c>
      <c r="I26">
        <v>3</v>
      </c>
      <c r="J26">
        <v>3</v>
      </c>
      <c r="K26">
        <v>2</v>
      </c>
      <c r="L26" s="1">
        <v>42841</v>
      </c>
      <c r="M26" s="1" t="s">
        <v>9</v>
      </c>
    </row>
    <row r="27" spans="1:13" x14ac:dyDescent="0.25">
      <c r="A27">
        <v>1026</v>
      </c>
      <c r="B27">
        <v>54</v>
      </c>
      <c r="C27" t="s">
        <v>32</v>
      </c>
      <c r="D27" t="s">
        <v>22</v>
      </c>
      <c r="E27" t="s">
        <v>14</v>
      </c>
      <c r="F27" t="s">
        <v>26</v>
      </c>
      <c r="G27">
        <v>99025</v>
      </c>
      <c r="H27">
        <v>14</v>
      </c>
      <c r="I27">
        <v>45</v>
      </c>
      <c r="J27">
        <v>1</v>
      </c>
      <c r="K27">
        <v>1</v>
      </c>
      <c r="L27" s="1">
        <v>45247</v>
      </c>
      <c r="M27" s="1" t="s">
        <v>9</v>
      </c>
    </row>
    <row r="28" spans="1:13" x14ac:dyDescent="0.25">
      <c r="A28">
        <v>1027</v>
      </c>
      <c r="B28">
        <v>33</v>
      </c>
      <c r="C28" t="s">
        <v>31</v>
      </c>
      <c r="D28" t="s">
        <v>27</v>
      </c>
      <c r="E28" t="s">
        <v>39</v>
      </c>
      <c r="F28" t="s">
        <v>15</v>
      </c>
      <c r="G28">
        <v>101253</v>
      </c>
      <c r="H28">
        <v>18</v>
      </c>
      <c r="I28">
        <v>27</v>
      </c>
      <c r="J28">
        <v>4</v>
      </c>
      <c r="K28">
        <v>10</v>
      </c>
      <c r="L28" s="1">
        <v>43561</v>
      </c>
      <c r="M28" s="1" t="s">
        <v>9</v>
      </c>
    </row>
    <row r="29" spans="1:13" x14ac:dyDescent="0.25">
      <c r="A29">
        <v>1028</v>
      </c>
      <c r="B29">
        <v>23</v>
      </c>
      <c r="C29" t="s">
        <v>31</v>
      </c>
      <c r="D29" t="s">
        <v>16</v>
      </c>
      <c r="E29" t="s">
        <v>25</v>
      </c>
      <c r="F29" t="s">
        <v>17</v>
      </c>
      <c r="G29">
        <v>45278</v>
      </c>
      <c r="H29">
        <v>17</v>
      </c>
      <c r="I29">
        <v>23</v>
      </c>
      <c r="J29" t="s">
        <v>9</v>
      </c>
      <c r="K29">
        <v>1</v>
      </c>
      <c r="L29" s="1">
        <v>43863</v>
      </c>
      <c r="M29" s="1" t="s">
        <v>9</v>
      </c>
    </row>
    <row r="30" spans="1:13" x14ac:dyDescent="0.25">
      <c r="A30">
        <v>1029</v>
      </c>
      <c r="B30">
        <v>23</v>
      </c>
      <c r="C30" t="s">
        <v>32</v>
      </c>
      <c r="D30" t="s">
        <v>23</v>
      </c>
      <c r="E30" t="s">
        <v>14</v>
      </c>
      <c r="F30" t="s">
        <v>26</v>
      </c>
      <c r="G30">
        <v>93665</v>
      </c>
      <c r="H30">
        <v>4</v>
      </c>
      <c r="I30">
        <v>30</v>
      </c>
      <c r="J30">
        <v>2</v>
      </c>
      <c r="K30">
        <v>6</v>
      </c>
      <c r="L30" s="1">
        <v>45097</v>
      </c>
      <c r="M30" s="1">
        <v>43507</v>
      </c>
    </row>
    <row r="31" spans="1:13" x14ac:dyDescent="0.25">
      <c r="A31">
        <v>1030</v>
      </c>
      <c r="B31">
        <v>38</v>
      </c>
      <c r="C31" t="s">
        <v>31</v>
      </c>
      <c r="D31" t="s">
        <v>27</v>
      </c>
      <c r="E31" t="s">
        <v>28</v>
      </c>
      <c r="F31" t="s">
        <v>21</v>
      </c>
      <c r="G31">
        <v>74101</v>
      </c>
      <c r="H31">
        <v>24</v>
      </c>
      <c r="I31">
        <v>46</v>
      </c>
      <c r="J31">
        <v>1</v>
      </c>
      <c r="K31">
        <v>6</v>
      </c>
      <c r="L31" s="1">
        <v>44982</v>
      </c>
      <c r="M31" s="1" t="s">
        <v>9</v>
      </c>
    </row>
    <row r="32" spans="1:13" x14ac:dyDescent="0.25">
      <c r="A32">
        <v>1031</v>
      </c>
      <c r="B32">
        <v>24</v>
      </c>
      <c r="C32" t="s">
        <v>33</v>
      </c>
      <c r="D32" t="s">
        <v>16</v>
      </c>
      <c r="E32" t="s">
        <v>25</v>
      </c>
      <c r="F32" t="s">
        <v>21</v>
      </c>
      <c r="G32">
        <v>85018</v>
      </c>
      <c r="H32">
        <v>8</v>
      </c>
      <c r="I32">
        <v>24</v>
      </c>
      <c r="J32">
        <v>2</v>
      </c>
      <c r="K32">
        <v>2</v>
      </c>
      <c r="L32" s="1">
        <v>42112</v>
      </c>
      <c r="M32" s="1" t="s">
        <v>9</v>
      </c>
    </row>
    <row r="33" spans="1:13" x14ac:dyDescent="0.25">
      <c r="A33">
        <v>1032</v>
      </c>
      <c r="B33">
        <v>38</v>
      </c>
      <c r="C33" t="s">
        <v>37</v>
      </c>
      <c r="D33" t="s">
        <v>22</v>
      </c>
      <c r="E33" t="s">
        <v>28</v>
      </c>
      <c r="F33" t="s">
        <v>17</v>
      </c>
      <c r="G33">
        <v>78900</v>
      </c>
      <c r="H33">
        <v>12</v>
      </c>
      <c r="I33">
        <v>6</v>
      </c>
      <c r="J33">
        <v>1</v>
      </c>
      <c r="K33">
        <v>7</v>
      </c>
      <c r="L33" s="1">
        <v>42167</v>
      </c>
      <c r="M33" s="1" t="s">
        <v>9</v>
      </c>
    </row>
    <row r="34" spans="1:13" x14ac:dyDescent="0.25">
      <c r="A34">
        <v>1033</v>
      </c>
      <c r="B34">
        <v>59</v>
      </c>
      <c r="C34" t="s">
        <v>31</v>
      </c>
      <c r="D34" t="s">
        <v>13</v>
      </c>
      <c r="E34" t="s">
        <v>41</v>
      </c>
      <c r="F34" t="s">
        <v>21</v>
      </c>
      <c r="G34">
        <v>78249</v>
      </c>
      <c r="H34">
        <v>30</v>
      </c>
      <c r="I34">
        <v>41</v>
      </c>
      <c r="J34">
        <v>2</v>
      </c>
      <c r="K34">
        <v>10</v>
      </c>
      <c r="L34" s="1">
        <v>42056</v>
      </c>
      <c r="M34" s="1" t="s">
        <v>9</v>
      </c>
    </row>
    <row r="35" spans="1:13" x14ac:dyDescent="0.25">
      <c r="A35">
        <v>1034</v>
      </c>
      <c r="B35">
        <v>37</v>
      </c>
      <c r="C35" t="s">
        <v>32</v>
      </c>
      <c r="D35" t="s">
        <v>22</v>
      </c>
      <c r="E35" t="s">
        <v>28</v>
      </c>
      <c r="F35" t="s">
        <v>21</v>
      </c>
      <c r="G35">
        <v>48259</v>
      </c>
      <c r="H35">
        <v>26</v>
      </c>
      <c r="I35">
        <v>57</v>
      </c>
      <c r="J35">
        <v>4</v>
      </c>
      <c r="K35">
        <v>8</v>
      </c>
      <c r="L35" s="1">
        <v>43365</v>
      </c>
      <c r="M35" s="1">
        <v>42887</v>
      </c>
    </row>
    <row r="36" spans="1:13" x14ac:dyDescent="0.25">
      <c r="A36">
        <v>1035</v>
      </c>
      <c r="B36">
        <v>51</v>
      </c>
      <c r="C36" t="s">
        <v>33</v>
      </c>
      <c r="D36" t="s">
        <v>36</v>
      </c>
      <c r="E36" t="s">
        <v>25</v>
      </c>
      <c r="F36" t="s">
        <v>18</v>
      </c>
      <c r="G36">
        <v>103617</v>
      </c>
      <c r="H36">
        <v>19</v>
      </c>
      <c r="I36">
        <v>26</v>
      </c>
      <c r="J36">
        <v>2</v>
      </c>
      <c r="K36">
        <v>3</v>
      </c>
      <c r="L36" s="1">
        <v>45253</v>
      </c>
      <c r="M36" s="1" t="s">
        <v>9</v>
      </c>
    </row>
    <row r="37" spans="1:13" x14ac:dyDescent="0.25">
      <c r="A37">
        <v>1036</v>
      </c>
      <c r="B37">
        <v>50</v>
      </c>
      <c r="C37" t="s">
        <v>43</v>
      </c>
      <c r="D37" t="s">
        <v>16</v>
      </c>
      <c r="E37" t="s">
        <v>28</v>
      </c>
      <c r="F37" t="s">
        <v>29</v>
      </c>
      <c r="G37">
        <v>57227</v>
      </c>
      <c r="H37">
        <v>10</v>
      </c>
      <c r="I37">
        <v>5</v>
      </c>
      <c r="J37">
        <v>5</v>
      </c>
      <c r="K37">
        <v>8</v>
      </c>
      <c r="L37" s="1">
        <v>45263</v>
      </c>
      <c r="M37" s="1" t="s">
        <v>9</v>
      </c>
    </row>
    <row r="38" spans="1:13" x14ac:dyDescent="0.25">
      <c r="A38">
        <v>1037</v>
      </c>
      <c r="B38">
        <v>44</v>
      </c>
      <c r="C38" t="s">
        <v>31</v>
      </c>
      <c r="D38" t="s">
        <v>27</v>
      </c>
      <c r="E38" t="s">
        <v>14</v>
      </c>
      <c r="F38" t="s">
        <v>21</v>
      </c>
      <c r="G38">
        <v>71066</v>
      </c>
      <c r="H38">
        <v>30</v>
      </c>
      <c r="I38">
        <v>8</v>
      </c>
      <c r="J38" t="s">
        <v>9</v>
      </c>
      <c r="K38">
        <v>5</v>
      </c>
      <c r="L38" s="1">
        <v>43517</v>
      </c>
      <c r="M38" s="1" t="s">
        <v>9</v>
      </c>
    </row>
    <row r="39" spans="1:13" x14ac:dyDescent="0.25">
      <c r="A39">
        <v>1038</v>
      </c>
      <c r="B39">
        <v>33</v>
      </c>
      <c r="C39" t="s">
        <v>43</v>
      </c>
      <c r="D39" t="s">
        <v>23</v>
      </c>
      <c r="E39" t="s">
        <v>25</v>
      </c>
      <c r="F39" t="s">
        <v>24</v>
      </c>
      <c r="G39">
        <v>80825</v>
      </c>
      <c r="H39">
        <v>0</v>
      </c>
      <c r="I39">
        <v>44</v>
      </c>
      <c r="J39">
        <v>3</v>
      </c>
      <c r="K39">
        <v>3</v>
      </c>
      <c r="L39" s="1">
        <v>42280</v>
      </c>
      <c r="M39" s="1">
        <v>44734</v>
      </c>
    </row>
    <row r="40" spans="1:13" x14ac:dyDescent="0.25">
      <c r="A40">
        <v>1039</v>
      </c>
      <c r="B40">
        <v>23</v>
      </c>
      <c r="C40" t="s">
        <v>32</v>
      </c>
      <c r="D40" t="s">
        <v>13</v>
      </c>
      <c r="E40" t="s">
        <v>28</v>
      </c>
      <c r="F40" t="s">
        <v>29</v>
      </c>
      <c r="G40">
        <v>63701</v>
      </c>
      <c r="H40">
        <v>23</v>
      </c>
      <c r="I40">
        <v>55</v>
      </c>
      <c r="J40">
        <v>4</v>
      </c>
      <c r="K40">
        <v>3</v>
      </c>
      <c r="L40" s="1">
        <v>45092</v>
      </c>
      <c r="M40" s="1">
        <v>42940</v>
      </c>
    </row>
    <row r="41" spans="1:13" x14ac:dyDescent="0.25">
      <c r="A41">
        <v>1040</v>
      </c>
      <c r="B41">
        <v>26</v>
      </c>
      <c r="C41" t="s">
        <v>37</v>
      </c>
      <c r="D41" t="s">
        <v>22</v>
      </c>
      <c r="E41" t="s">
        <v>12</v>
      </c>
      <c r="F41" t="s">
        <v>29</v>
      </c>
      <c r="G41">
        <v>55672</v>
      </c>
      <c r="H41">
        <v>3</v>
      </c>
      <c r="I41">
        <v>52</v>
      </c>
      <c r="J41">
        <v>3</v>
      </c>
      <c r="K41">
        <v>1</v>
      </c>
      <c r="L41" s="1">
        <v>44416</v>
      </c>
      <c r="M41" s="1" t="s">
        <v>9</v>
      </c>
    </row>
    <row r="42" spans="1:13" x14ac:dyDescent="0.25">
      <c r="A42">
        <v>1041</v>
      </c>
      <c r="B42">
        <v>29</v>
      </c>
      <c r="C42" t="s">
        <v>32</v>
      </c>
      <c r="D42" t="s">
        <v>22</v>
      </c>
      <c r="E42" t="s">
        <v>28</v>
      </c>
      <c r="F42" t="s">
        <v>44</v>
      </c>
      <c r="G42">
        <v>58476</v>
      </c>
      <c r="H42">
        <v>9</v>
      </c>
      <c r="I42">
        <v>34</v>
      </c>
      <c r="J42">
        <v>3</v>
      </c>
      <c r="K42">
        <v>2</v>
      </c>
      <c r="L42" s="1">
        <v>44093</v>
      </c>
      <c r="M42" s="1" t="s">
        <v>9</v>
      </c>
    </row>
    <row r="43" spans="1:13" x14ac:dyDescent="0.25">
      <c r="A43">
        <v>1042</v>
      </c>
      <c r="B43">
        <v>58</v>
      </c>
      <c r="C43" t="s">
        <v>32</v>
      </c>
      <c r="D43" t="s">
        <v>22</v>
      </c>
      <c r="E43" t="s">
        <v>14</v>
      </c>
      <c r="F43" t="s">
        <v>17</v>
      </c>
      <c r="G43">
        <v>89655</v>
      </c>
      <c r="H43">
        <v>22</v>
      </c>
      <c r="I43">
        <v>55</v>
      </c>
      <c r="J43">
        <v>1</v>
      </c>
      <c r="K43">
        <v>3</v>
      </c>
      <c r="L43" s="1">
        <v>45216</v>
      </c>
      <c r="M43" s="1" t="s">
        <v>9</v>
      </c>
    </row>
    <row r="44" spans="1:13" x14ac:dyDescent="0.25">
      <c r="A44">
        <v>1043</v>
      </c>
      <c r="B44">
        <v>30</v>
      </c>
      <c r="C44" t="s">
        <v>31</v>
      </c>
      <c r="D44" t="s">
        <v>16</v>
      </c>
      <c r="E44" t="s">
        <v>20</v>
      </c>
      <c r="F44" t="s">
        <v>44</v>
      </c>
      <c r="G44">
        <v>71693</v>
      </c>
      <c r="H44">
        <v>8</v>
      </c>
      <c r="I44">
        <v>1</v>
      </c>
      <c r="J44" t="s">
        <v>9</v>
      </c>
      <c r="K44">
        <v>4</v>
      </c>
      <c r="L44" s="1">
        <v>44292</v>
      </c>
      <c r="M44" s="1">
        <v>43073</v>
      </c>
    </row>
    <row r="45" spans="1:13" x14ac:dyDescent="0.25">
      <c r="A45">
        <v>1044</v>
      </c>
      <c r="B45">
        <v>23</v>
      </c>
      <c r="C45" t="s">
        <v>33</v>
      </c>
      <c r="D45" t="s">
        <v>19</v>
      </c>
      <c r="E45" t="s">
        <v>20</v>
      </c>
      <c r="F45" t="s">
        <v>21</v>
      </c>
      <c r="G45">
        <v>107299</v>
      </c>
      <c r="H45">
        <v>1</v>
      </c>
      <c r="I45">
        <v>36</v>
      </c>
      <c r="J45">
        <v>1</v>
      </c>
      <c r="K45">
        <v>8</v>
      </c>
      <c r="L45" s="1">
        <v>44725</v>
      </c>
      <c r="M45" s="1" t="s">
        <v>9</v>
      </c>
    </row>
    <row r="46" spans="1:13" x14ac:dyDescent="0.25">
      <c r="A46">
        <v>1045</v>
      </c>
      <c r="B46">
        <v>28</v>
      </c>
      <c r="C46" t="s">
        <v>32</v>
      </c>
      <c r="D46" t="s">
        <v>16</v>
      </c>
      <c r="E46" t="s">
        <v>14</v>
      </c>
      <c r="F46" t="s">
        <v>21</v>
      </c>
      <c r="G46">
        <v>75897</v>
      </c>
      <c r="H46">
        <v>14</v>
      </c>
      <c r="I46">
        <v>54</v>
      </c>
      <c r="J46" t="s">
        <v>9</v>
      </c>
      <c r="K46">
        <v>4</v>
      </c>
      <c r="L46" s="1">
        <v>42810</v>
      </c>
      <c r="M46" s="1">
        <v>43360</v>
      </c>
    </row>
    <row r="47" spans="1:13" x14ac:dyDescent="0.25">
      <c r="A47">
        <v>1046</v>
      </c>
      <c r="B47">
        <v>35</v>
      </c>
      <c r="C47" t="s">
        <v>31</v>
      </c>
      <c r="D47" t="s">
        <v>23</v>
      </c>
      <c r="E47" t="s">
        <v>12</v>
      </c>
      <c r="F47" t="s">
        <v>21</v>
      </c>
      <c r="G47">
        <v>63383</v>
      </c>
      <c r="H47">
        <v>17</v>
      </c>
      <c r="I47">
        <v>33</v>
      </c>
      <c r="J47">
        <v>1</v>
      </c>
      <c r="K47">
        <v>4</v>
      </c>
      <c r="L47" s="1">
        <v>42334</v>
      </c>
      <c r="M47" s="1">
        <v>44873</v>
      </c>
    </row>
    <row r="48" spans="1:13" x14ac:dyDescent="0.25">
      <c r="A48">
        <v>1047</v>
      </c>
      <c r="B48">
        <v>45</v>
      </c>
      <c r="C48" t="s">
        <v>32</v>
      </c>
      <c r="D48" t="s">
        <v>19</v>
      </c>
      <c r="E48" t="s">
        <v>25</v>
      </c>
      <c r="F48" t="s">
        <v>29</v>
      </c>
      <c r="G48">
        <v>109014</v>
      </c>
      <c r="H48">
        <v>28</v>
      </c>
      <c r="I48">
        <v>48</v>
      </c>
      <c r="J48">
        <v>5</v>
      </c>
      <c r="K48">
        <v>4</v>
      </c>
      <c r="L48" s="1">
        <v>42078</v>
      </c>
      <c r="M48" s="1" t="s">
        <v>9</v>
      </c>
    </row>
    <row r="49" spans="1:13" x14ac:dyDescent="0.25">
      <c r="A49">
        <v>1048</v>
      </c>
      <c r="B49">
        <v>53</v>
      </c>
      <c r="C49" t="s">
        <v>32</v>
      </c>
      <c r="D49" t="s">
        <v>16</v>
      </c>
      <c r="E49" t="s">
        <v>20</v>
      </c>
      <c r="F49" t="s">
        <v>24</v>
      </c>
      <c r="G49">
        <v>82854</v>
      </c>
      <c r="H49">
        <v>5</v>
      </c>
      <c r="I49">
        <v>19</v>
      </c>
      <c r="J49">
        <v>4</v>
      </c>
      <c r="K49">
        <v>10</v>
      </c>
      <c r="L49" s="1">
        <v>44660</v>
      </c>
      <c r="M49" s="1">
        <v>42897</v>
      </c>
    </row>
    <row r="50" spans="1:13" x14ac:dyDescent="0.25">
      <c r="A50">
        <v>1049</v>
      </c>
      <c r="B50">
        <v>43</v>
      </c>
      <c r="C50" t="s">
        <v>43</v>
      </c>
      <c r="D50" t="s">
        <v>13</v>
      </c>
      <c r="E50" t="s">
        <v>28</v>
      </c>
      <c r="F50" t="s">
        <v>44</v>
      </c>
      <c r="G50">
        <v>59019</v>
      </c>
      <c r="H50">
        <v>14</v>
      </c>
      <c r="I50">
        <v>34</v>
      </c>
      <c r="J50" t="s">
        <v>9</v>
      </c>
      <c r="K50">
        <v>5</v>
      </c>
      <c r="L50" s="1">
        <v>43111</v>
      </c>
      <c r="M50" s="1" t="s">
        <v>9</v>
      </c>
    </row>
    <row r="51" spans="1:13" x14ac:dyDescent="0.25">
      <c r="A51">
        <v>1050</v>
      </c>
      <c r="B51">
        <v>25</v>
      </c>
      <c r="C51" t="s">
        <v>32</v>
      </c>
      <c r="D51" t="s">
        <v>19</v>
      </c>
      <c r="E51" t="s">
        <v>39</v>
      </c>
      <c r="F51" t="s">
        <v>42</v>
      </c>
      <c r="G51">
        <v>109824</v>
      </c>
      <c r="H51">
        <v>17</v>
      </c>
      <c r="I51">
        <v>38</v>
      </c>
      <c r="J51">
        <v>2</v>
      </c>
      <c r="K51">
        <v>3</v>
      </c>
      <c r="L51" s="1">
        <v>42868</v>
      </c>
      <c r="M51" s="1" t="s">
        <v>9</v>
      </c>
    </row>
    <row r="52" spans="1:13" x14ac:dyDescent="0.25">
      <c r="A52">
        <v>1051</v>
      </c>
      <c r="B52">
        <v>25</v>
      </c>
      <c r="C52" t="s">
        <v>43</v>
      </c>
      <c r="D52" t="s">
        <v>38</v>
      </c>
      <c r="E52" t="s">
        <v>34</v>
      </c>
      <c r="F52" t="s">
        <v>21</v>
      </c>
      <c r="G52">
        <v>83473</v>
      </c>
      <c r="H52">
        <v>22</v>
      </c>
      <c r="I52">
        <v>57</v>
      </c>
      <c r="J52" t="s">
        <v>9</v>
      </c>
      <c r="K52">
        <v>2</v>
      </c>
      <c r="L52" s="1">
        <v>43026</v>
      </c>
      <c r="M52" s="1" t="s">
        <v>9</v>
      </c>
    </row>
    <row r="53" spans="1:13" x14ac:dyDescent="0.25">
      <c r="A53">
        <v>1052</v>
      </c>
      <c r="B53">
        <v>26</v>
      </c>
      <c r="C53" t="s">
        <v>32</v>
      </c>
      <c r="D53" t="s">
        <v>35</v>
      </c>
      <c r="E53" t="s">
        <v>20</v>
      </c>
      <c r="F53" t="s">
        <v>29</v>
      </c>
      <c r="G53">
        <v>54599</v>
      </c>
      <c r="H53">
        <v>12</v>
      </c>
      <c r="I53">
        <v>25</v>
      </c>
      <c r="J53">
        <v>2</v>
      </c>
      <c r="K53">
        <v>3</v>
      </c>
      <c r="L53" s="1">
        <v>42678</v>
      </c>
      <c r="M53" s="1" t="s">
        <v>9</v>
      </c>
    </row>
    <row r="54" spans="1:13" x14ac:dyDescent="0.25">
      <c r="A54">
        <v>1053</v>
      </c>
      <c r="B54">
        <v>28</v>
      </c>
      <c r="C54" t="s">
        <v>32</v>
      </c>
      <c r="D54" t="s">
        <v>23</v>
      </c>
      <c r="E54" t="s">
        <v>41</v>
      </c>
      <c r="F54" t="s">
        <v>42</v>
      </c>
      <c r="G54">
        <v>98358</v>
      </c>
      <c r="H54">
        <v>27</v>
      </c>
      <c r="I54">
        <v>20</v>
      </c>
      <c r="J54">
        <v>3</v>
      </c>
      <c r="K54">
        <v>4</v>
      </c>
      <c r="L54" s="1">
        <v>42517</v>
      </c>
      <c r="M54" s="1">
        <v>43711</v>
      </c>
    </row>
    <row r="55" spans="1:13" x14ac:dyDescent="0.25">
      <c r="A55">
        <v>1054</v>
      </c>
      <c r="B55">
        <v>33</v>
      </c>
      <c r="C55" t="s">
        <v>31</v>
      </c>
      <c r="D55" t="s">
        <v>13</v>
      </c>
      <c r="E55" t="s">
        <v>39</v>
      </c>
      <c r="F55" t="s">
        <v>29</v>
      </c>
      <c r="G55">
        <v>91878</v>
      </c>
      <c r="H55">
        <v>20</v>
      </c>
      <c r="I55">
        <v>45</v>
      </c>
      <c r="J55">
        <v>4</v>
      </c>
      <c r="K55">
        <v>10</v>
      </c>
      <c r="L55" s="1">
        <v>43484</v>
      </c>
      <c r="M55" s="1" t="s">
        <v>9</v>
      </c>
    </row>
    <row r="56" spans="1:13" x14ac:dyDescent="0.25">
      <c r="A56">
        <v>1055</v>
      </c>
      <c r="B56">
        <v>30</v>
      </c>
      <c r="C56" t="s">
        <v>37</v>
      </c>
      <c r="D56" t="s">
        <v>19</v>
      </c>
      <c r="E56" t="s">
        <v>12</v>
      </c>
      <c r="F56" t="s">
        <v>40</v>
      </c>
      <c r="G56">
        <v>71151</v>
      </c>
      <c r="H56">
        <v>7</v>
      </c>
      <c r="I56">
        <v>45</v>
      </c>
      <c r="J56">
        <v>1</v>
      </c>
      <c r="K56">
        <v>1</v>
      </c>
      <c r="L56" s="1">
        <v>43752</v>
      </c>
      <c r="M56" s="1" t="s">
        <v>9</v>
      </c>
    </row>
    <row r="57" spans="1:13" x14ac:dyDescent="0.25">
      <c r="A57">
        <v>1056</v>
      </c>
      <c r="B57">
        <v>43</v>
      </c>
      <c r="C57" t="s">
        <v>31</v>
      </c>
      <c r="D57" t="s">
        <v>23</v>
      </c>
      <c r="E57" t="s">
        <v>14</v>
      </c>
      <c r="F57" t="s">
        <v>21</v>
      </c>
      <c r="G57">
        <v>56599</v>
      </c>
      <c r="H57">
        <v>24</v>
      </c>
      <c r="I57">
        <v>9</v>
      </c>
      <c r="J57" t="s">
        <v>9</v>
      </c>
      <c r="K57">
        <v>1</v>
      </c>
      <c r="L57" s="1">
        <v>45440</v>
      </c>
      <c r="M57" s="1">
        <v>44829</v>
      </c>
    </row>
    <row r="58" spans="1:13" x14ac:dyDescent="0.25">
      <c r="A58">
        <v>1057</v>
      </c>
      <c r="B58">
        <v>41</v>
      </c>
      <c r="C58" t="s">
        <v>32</v>
      </c>
      <c r="D58" t="s">
        <v>16</v>
      </c>
      <c r="E58" t="s">
        <v>34</v>
      </c>
      <c r="F58" t="s">
        <v>18</v>
      </c>
      <c r="G58">
        <v>76848</v>
      </c>
      <c r="H58">
        <v>23</v>
      </c>
      <c r="I58">
        <v>32</v>
      </c>
      <c r="J58">
        <v>1</v>
      </c>
      <c r="K58">
        <v>4</v>
      </c>
      <c r="L58" s="1">
        <v>43355</v>
      </c>
      <c r="M58" s="1" t="s">
        <v>9</v>
      </c>
    </row>
    <row r="59" spans="1:13" x14ac:dyDescent="0.25">
      <c r="A59">
        <v>1058</v>
      </c>
      <c r="B59">
        <v>33</v>
      </c>
      <c r="C59" t="s">
        <v>43</v>
      </c>
      <c r="D59" t="s">
        <v>27</v>
      </c>
      <c r="E59" t="s">
        <v>20</v>
      </c>
      <c r="F59" t="s">
        <v>17</v>
      </c>
      <c r="G59">
        <v>104193</v>
      </c>
      <c r="H59">
        <v>1</v>
      </c>
      <c r="I59">
        <v>42</v>
      </c>
      <c r="J59">
        <v>1</v>
      </c>
      <c r="K59">
        <v>4</v>
      </c>
      <c r="L59" s="1">
        <v>43572</v>
      </c>
      <c r="M59" s="1" t="s">
        <v>9</v>
      </c>
    </row>
    <row r="60" spans="1:13" x14ac:dyDescent="0.25">
      <c r="A60">
        <v>1059</v>
      </c>
      <c r="B60">
        <v>25</v>
      </c>
      <c r="C60" t="s">
        <v>32</v>
      </c>
      <c r="D60" t="s">
        <v>36</v>
      </c>
      <c r="E60" t="s">
        <v>12</v>
      </c>
      <c r="F60" t="s">
        <v>44</v>
      </c>
      <c r="G60">
        <v>80514</v>
      </c>
      <c r="H60">
        <v>19</v>
      </c>
      <c r="I60">
        <v>28</v>
      </c>
      <c r="J60">
        <v>3</v>
      </c>
      <c r="K60">
        <v>8</v>
      </c>
      <c r="L60" s="1">
        <v>44319</v>
      </c>
      <c r="M60" s="1" t="s">
        <v>9</v>
      </c>
    </row>
    <row r="61" spans="1:13" x14ac:dyDescent="0.25">
      <c r="A61">
        <v>1060</v>
      </c>
      <c r="B61">
        <v>26</v>
      </c>
      <c r="C61" t="s">
        <v>32</v>
      </c>
      <c r="D61" t="s">
        <v>36</v>
      </c>
      <c r="E61" t="s">
        <v>25</v>
      </c>
      <c r="F61" t="s">
        <v>42</v>
      </c>
      <c r="G61">
        <v>102895</v>
      </c>
      <c r="H61">
        <v>17</v>
      </c>
      <c r="I61">
        <v>43</v>
      </c>
      <c r="J61">
        <v>5</v>
      </c>
      <c r="K61">
        <v>4</v>
      </c>
      <c r="L61" s="1">
        <v>42390</v>
      </c>
      <c r="M61" s="1" t="s">
        <v>9</v>
      </c>
    </row>
    <row r="62" spans="1:13" x14ac:dyDescent="0.25">
      <c r="A62">
        <v>1061</v>
      </c>
      <c r="B62">
        <v>53</v>
      </c>
      <c r="C62" t="s">
        <v>31</v>
      </c>
      <c r="D62" t="s">
        <v>35</v>
      </c>
      <c r="E62" t="s">
        <v>39</v>
      </c>
      <c r="F62" t="s">
        <v>17</v>
      </c>
      <c r="G62">
        <v>94123</v>
      </c>
      <c r="H62">
        <v>15</v>
      </c>
      <c r="I62">
        <v>47</v>
      </c>
      <c r="J62">
        <v>2</v>
      </c>
      <c r="K62">
        <v>1</v>
      </c>
      <c r="L62" s="1">
        <v>44018</v>
      </c>
      <c r="M62" s="1">
        <v>45637</v>
      </c>
    </row>
    <row r="63" spans="1:13" x14ac:dyDescent="0.25">
      <c r="A63">
        <v>1062</v>
      </c>
      <c r="B63">
        <v>45</v>
      </c>
      <c r="C63" t="s">
        <v>37</v>
      </c>
      <c r="D63" t="s">
        <v>23</v>
      </c>
      <c r="E63" t="s">
        <v>12</v>
      </c>
      <c r="F63" t="s">
        <v>18</v>
      </c>
      <c r="G63">
        <v>97855</v>
      </c>
      <c r="H63">
        <v>8</v>
      </c>
      <c r="I63">
        <v>59</v>
      </c>
      <c r="J63">
        <v>5</v>
      </c>
      <c r="K63">
        <v>6</v>
      </c>
      <c r="L63" s="1">
        <v>44917</v>
      </c>
      <c r="M63" s="1">
        <v>42374</v>
      </c>
    </row>
    <row r="64" spans="1:13" x14ac:dyDescent="0.25">
      <c r="A64">
        <v>1063</v>
      </c>
      <c r="B64">
        <v>27</v>
      </c>
      <c r="C64" t="s">
        <v>37</v>
      </c>
      <c r="D64" t="s">
        <v>27</v>
      </c>
      <c r="E64" t="s">
        <v>14</v>
      </c>
      <c r="F64" t="s">
        <v>18</v>
      </c>
      <c r="G64">
        <v>46218</v>
      </c>
      <c r="H64">
        <v>21</v>
      </c>
      <c r="I64">
        <v>53</v>
      </c>
      <c r="J64" t="s">
        <v>9</v>
      </c>
      <c r="K64">
        <v>2</v>
      </c>
      <c r="L64" s="1">
        <v>42191</v>
      </c>
      <c r="M64" s="1">
        <v>43999</v>
      </c>
    </row>
    <row r="65" spans="1:13" x14ac:dyDescent="0.25">
      <c r="A65">
        <v>1064</v>
      </c>
      <c r="B65">
        <v>60</v>
      </c>
      <c r="C65" t="s">
        <v>37</v>
      </c>
      <c r="D65" t="s">
        <v>23</v>
      </c>
      <c r="E65" t="s">
        <v>39</v>
      </c>
      <c r="F65" t="s">
        <v>44</v>
      </c>
      <c r="G65">
        <v>85877</v>
      </c>
      <c r="H65">
        <v>25</v>
      </c>
      <c r="I65">
        <v>49</v>
      </c>
      <c r="J65">
        <v>4</v>
      </c>
      <c r="K65">
        <v>2</v>
      </c>
      <c r="L65" s="1">
        <v>44966</v>
      </c>
      <c r="M65" s="1">
        <v>42371</v>
      </c>
    </row>
    <row r="66" spans="1:13" x14ac:dyDescent="0.25">
      <c r="A66">
        <v>1065</v>
      </c>
      <c r="B66">
        <v>22</v>
      </c>
      <c r="C66" t="s">
        <v>37</v>
      </c>
      <c r="D66" t="s">
        <v>23</v>
      </c>
      <c r="E66" t="s">
        <v>28</v>
      </c>
      <c r="F66" t="s">
        <v>26</v>
      </c>
      <c r="G66">
        <v>61990</v>
      </c>
      <c r="H66">
        <v>9</v>
      </c>
      <c r="I66">
        <v>22</v>
      </c>
      <c r="J66">
        <v>5</v>
      </c>
      <c r="K66">
        <v>9</v>
      </c>
      <c r="L66" s="1">
        <v>43764</v>
      </c>
      <c r="M66" s="1" t="s">
        <v>9</v>
      </c>
    </row>
    <row r="67" spans="1:13" x14ac:dyDescent="0.25">
      <c r="A67">
        <v>1066</v>
      </c>
      <c r="B67">
        <v>35</v>
      </c>
      <c r="C67" t="s">
        <v>31</v>
      </c>
      <c r="D67" t="s">
        <v>35</v>
      </c>
      <c r="E67" t="s">
        <v>34</v>
      </c>
      <c r="F67" t="s">
        <v>24</v>
      </c>
      <c r="G67">
        <v>58879</v>
      </c>
      <c r="H67">
        <v>13</v>
      </c>
      <c r="I67">
        <v>38</v>
      </c>
      <c r="J67">
        <v>4</v>
      </c>
      <c r="K67">
        <v>1</v>
      </c>
      <c r="L67" s="1">
        <v>43795</v>
      </c>
      <c r="M67" s="1">
        <v>44412</v>
      </c>
    </row>
    <row r="68" spans="1:13" x14ac:dyDescent="0.25">
      <c r="A68">
        <v>1067</v>
      </c>
      <c r="B68">
        <v>24</v>
      </c>
      <c r="C68" t="s">
        <v>31</v>
      </c>
      <c r="D68" t="s">
        <v>35</v>
      </c>
      <c r="E68" t="s">
        <v>14</v>
      </c>
      <c r="F68" t="s">
        <v>40</v>
      </c>
      <c r="G68">
        <v>75413</v>
      </c>
      <c r="H68">
        <v>6</v>
      </c>
      <c r="I68">
        <v>46</v>
      </c>
      <c r="J68">
        <v>5</v>
      </c>
      <c r="K68">
        <v>7</v>
      </c>
      <c r="L68" s="1">
        <v>42628</v>
      </c>
      <c r="M68" s="1">
        <v>45245</v>
      </c>
    </row>
    <row r="69" spans="1:13" x14ac:dyDescent="0.25">
      <c r="A69">
        <v>1068</v>
      </c>
      <c r="B69">
        <v>42</v>
      </c>
      <c r="C69" t="s">
        <v>32</v>
      </c>
      <c r="D69" t="s">
        <v>19</v>
      </c>
      <c r="E69" t="s">
        <v>34</v>
      </c>
      <c r="F69" t="s">
        <v>26</v>
      </c>
      <c r="G69">
        <v>74982</v>
      </c>
      <c r="H69">
        <v>2</v>
      </c>
      <c r="I69">
        <v>23</v>
      </c>
      <c r="J69">
        <v>2</v>
      </c>
      <c r="K69">
        <v>8</v>
      </c>
      <c r="L69" s="1">
        <v>44878</v>
      </c>
      <c r="M69" s="1">
        <v>44767</v>
      </c>
    </row>
    <row r="70" spans="1:13" x14ac:dyDescent="0.25">
      <c r="A70">
        <v>1069</v>
      </c>
      <c r="B70">
        <v>43</v>
      </c>
      <c r="C70" t="s">
        <v>32</v>
      </c>
      <c r="D70" t="s">
        <v>13</v>
      </c>
      <c r="E70" t="s">
        <v>14</v>
      </c>
      <c r="F70" t="s">
        <v>21</v>
      </c>
      <c r="G70">
        <v>55241</v>
      </c>
      <c r="H70">
        <v>23</v>
      </c>
      <c r="I70">
        <v>12</v>
      </c>
      <c r="J70">
        <v>4</v>
      </c>
      <c r="K70">
        <v>3</v>
      </c>
      <c r="L70" s="1">
        <v>44625</v>
      </c>
      <c r="M70" s="1" t="s">
        <v>9</v>
      </c>
    </row>
    <row r="71" spans="1:13" x14ac:dyDescent="0.25">
      <c r="A71">
        <v>1070</v>
      </c>
      <c r="B71">
        <v>26</v>
      </c>
      <c r="C71" t="s">
        <v>32</v>
      </c>
      <c r="D71" t="s">
        <v>27</v>
      </c>
      <c r="E71" t="s">
        <v>39</v>
      </c>
      <c r="F71" t="s">
        <v>40</v>
      </c>
      <c r="G71">
        <v>89995</v>
      </c>
      <c r="H71">
        <v>14</v>
      </c>
      <c r="I71">
        <v>43</v>
      </c>
      <c r="J71" t="s">
        <v>9</v>
      </c>
      <c r="K71">
        <v>5</v>
      </c>
      <c r="L71" s="1">
        <v>44988</v>
      </c>
      <c r="M71" s="1" t="s">
        <v>9</v>
      </c>
    </row>
    <row r="72" spans="1:13" x14ac:dyDescent="0.25">
      <c r="A72">
        <v>1071</v>
      </c>
      <c r="B72">
        <v>60</v>
      </c>
      <c r="C72" t="s">
        <v>43</v>
      </c>
      <c r="D72" t="s">
        <v>27</v>
      </c>
      <c r="E72" t="s">
        <v>41</v>
      </c>
      <c r="F72" t="s">
        <v>15</v>
      </c>
      <c r="G72">
        <v>72619</v>
      </c>
      <c r="H72">
        <v>27</v>
      </c>
      <c r="I72">
        <v>11</v>
      </c>
      <c r="J72">
        <v>4</v>
      </c>
      <c r="K72">
        <v>4</v>
      </c>
      <c r="L72" s="1">
        <v>44671</v>
      </c>
      <c r="M72" s="1">
        <v>43179</v>
      </c>
    </row>
    <row r="73" spans="1:13" x14ac:dyDescent="0.25">
      <c r="A73">
        <v>1072</v>
      </c>
      <c r="B73">
        <v>53</v>
      </c>
      <c r="C73" t="s">
        <v>43</v>
      </c>
      <c r="D73" t="s">
        <v>13</v>
      </c>
      <c r="E73" t="s">
        <v>41</v>
      </c>
      <c r="F73" t="s">
        <v>21</v>
      </c>
      <c r="G73">
        <v>79699</v>
      </c>
      <c r="H73">
        <v>21</v>
      </c>
      <c r="I73">
        <v>51</v>
      </c>
      <c r="J73">
        <v>4</v>
      </c>
      <c r="K73">
        <v>3</v>
      </c>
      <c r="L73" s="1">
        <v>43850</v>
      </c>
      <c r="M73" s="1" t="s">
        <v>9</v>
      </c>
    </row>
    <row r="74" spans="1:13" x14ac:dyDescent="0.25">
      <c r="A74">
        <v>1073</v>
      </c>
      <c r="B74">
        <v>48</v>
      </c>
      <c r="C74" t="s">
        <v>32</v>
      </c>
      <c r="D74" t="s">
        <v>16</v>
      </c>
      <c r="E74" t="s">
        <v>28</v>
      </c>
      <c r="F74" t="s">
        <v>21</v>
      </c>
      <c r="G74">
        <v>55102</v>
      </c>
      <c r="H74">
        <v>12</v>
      </c>
      <c r="I74">
        <v>34</v>
      </c>
      <c r="J74">
        <v>2</v>
      </c>
      <c r="K74">
        <v>9</v>
      </c>
      <c r="L74" s="1">
        <v>44718</v>
      </c>
      <c r="M74" s="1" t="s">
        <v>9</v>
      </c>
    </row>
    <row r="75" spans="1:13" x14ac:dyDescent="0.25">
      <c r="A75">
        <v>1074</v>
      </c>
      <c r="B75">
        <v>24</v>
      </c>
      <c r="C75" t="s">
        <v>33</v>
      </c>
      <c r="D75" t="s">
        <v>22</v>
      </c>
      <c r="E75" t="s">
        <v>20</v>
      </c>
      <c r="F75" t="s">
        <v>29</v>
      </c>
      <c r="G75">
        <v>91120</v>
      </c>
      <c r="H75">
        <v>0</v>
      </c>
      <c r="I75">
        <v>0</v>
      </c>
      <c r="J75">
        <v>2</v>
      </c>
      <c r="K75">
        <v>6</v>
      </c>
      <c r="L75" s="1">
        <v>44687</v>
      </c>
      <c r="M75" s="1" t="s">
        <v>9</v>
      </c>
    </row>
    <row r="76" spans="1:13" x14ac:dyDescent="0.25">
      <c r="A76">
        <v>1075</v>
      </c>
      <c r="B76">
        <v>56</v>
      </c>
      <c r="C76" t="s">
        <v>32</v>
      </c>
      <c r="D76" t="s">
        <v>38</v>
      </c>
      <c r="E76" t="s">
        <v>34</v>
      </c>
      <c r="F76" t="s">
        <v>17</v>
      </c>
      <c r="G76">
        <v>108483</v>
      </c>
      <c r="H76">
        <v>0</v>
      </c>
      <c r="I76">
        <v>45</v>
      </c>
      <c r="J76">
        <v>3</v>
      </c>
      <c r="K76">
        <v>4</v>
      </c>
      <c r="L76" s="1">
        <v>42690</v>
      </c>
      <c r="M76" s="1" t="s">
        <v>9</v>
      </c>
    </row>
    <row r="77" spans="1:13" x14ac:dyDescent="0.25">
      <c r="A77">
        <v>1076</v>
      </c>
      <c r="B77">
        <v>44</v>
      </c>
      <c r="C77" t="s">
        <v>32</v>
      </c>
      <c r="D77" t="s">
        <v>27</v>
      </c>
      <c r="E77" t="s">
        <v>39</v>
      </c>
      <c r="F77" t="s">
        <v>29</v>
      </c>
      <c r="G77">
        <v>106302</v>
      </c>
      <c r="H77">
        <v>18</v>
      </c>
      <c r="I77">
        <v>35</v>
      </c>
      <c r="J77" t="s">
        <v>9</v>
      </c>
      <c r="K77">
        <v>5</v>
      </c>
      <c r="L77" s="1">
        <v>42756</v>
      </c>
      <c r="M77" s="1" t="s">
        <v>9</v>
      </c>
    </row>
    <row r="78" spans="1:13" x14ac:dyDescent="0.25">
      <c r="A78">
        <v>1077</v>
      </c>
      <c r="B78">
        <v>52</v>
      </c>
      <c r="C78" t="s">
        <v>31</v>
      </c>
      <c r="D78" t="s">
        <v>27</v>
      </c>
      <c r="E78" t="s">
        <v>14</v>
      </c>
      <c r="F78" t="s">
        <v>26</v>
      </c>
      <c r="G78">
        <v>95950</v>
      </c>
      <c r="H78">
        <v>24</v>
      </c>
      <c r="I78">
        <v>51</v>
      </c>
      <c r="J78">
        <v>1</v>
      </c>
      <c r="K78">
        <v>7</v>
      </c>
      <c r="L78" s="1">
        <v>42908</v>
      </c>
      <c r="M78" s="1">
        <v>43501</v>
      </c>
    </row>
    <row r="79" spans="1:13" x14ac:dyDescent="0.25">
      <c r="A79">
        <v>1078</v>
      </c>
      <c r="B79">
        <v>56</v>
      </c>
      <c r="C79" t="s">
        <v>32</v>
      </c>
      <c r="D79" t="s">
        <v>27</v>
      </c>
      <c r="E79" t="s">
        <v>25</v>
      </c>
      <c r="F79" t="s">
        <v>24</v>
      </c>
      <c r="G79">
        <v>72636</v>
      </c>
      <c r="H79">
        <v>14</v>
      </c>
      <c r="I79">
        <v>39</v>
      </c>
      <c r="J79">
        <v>4</v>
      </c>
      <c r="K79">
        <v>2</v>
      </c>
      <c r="L79" s="1">
        <v>45316</v>
      </c>
      <c r="M79" s="1" t="s">
        <v>9</v>
      </c>
    </row>
    <row r="80" spans="1:13" x14ac:dyDescent="0.25">
      <c r="A80">
        <v>1079</v>
      </c>
      <c r="B80">
        <v>26</v>
      </c>
      <c r="C80" t="s">
        <v>32</v>
      </c>
      <c r="D80" t="s">
        <v>38</v>
      </c>
      <c r="E80" t="s">
        <v>39</v>
      </c>
      <c r="F80" t="s">
        <v>44</v>
      </c>
      <c r="G80">
        <v>57476</v>
      </c>
      <c r="H80">
        <v>6</v>
      </c>
      <c r="I80">
        <v>56</v>
      </c>
      <c r="J80">
        <v>3</v>
      </c>
      <c r="K80">
        <v>6</v>
      </c>
      <c r="L80" s="1">
        <v>42416</v>
      </c>
      <c r="M80" s="1">
        <v>45126</v>
      </c>
    </row>
    <row r="81" spans="1:13" x14ac:dyDescent="0.25">
      <c r="A81">
        <v>1080</v>
      </c>
      <c r="B81">
        <v>27</v>
      </c>
      <c r="C81" t="s">
        <v>37</v>
      </c>
      <c r="D81" t="s">
        <v>27</v>
      </c>
      <c r="E81" t="s">
        <v>12</v>
      </c>
      <c r="F81" t="s">
        <v>18</v>
      </c>
      <c r="G81">
        <v>93371</v>
      </c>
      <c r="H81">
        <v>26</v>
      </c>
      <c r="I81">
        <v>53</v>
      </c>
      <c r="J81">
        <v>3</v>
      </c>
      <c r="K81">
        <v>3</v>
      </c>
      <c r="L81" s="1">
        <v>45238</v>
      </c>
      <c r="M81" s="1" t="s">
        <v>9</v>
      </c>
    </row>
    <row r="82" spans="1:13" x14ac:dyDescent="0.25">
      <c r="A82">
        <v>1081</v>
      </c>
      <c r="B82">
        <v>45</v>
      </c>
      <c r="C82" t="s">
        <v>32</v>
      </c>
      <c r="D82" t="s">
        <v>13</v>
      </c>
      <c r="E82" t="s">
        <v>39</v>
      </c>
      <c r="F82" t="s">
        <v>29</v>
      </c>
      <c r="G82">
        <v>88161</v>
      </c>
      <c r="H82">
        <v>10</v>
      </c>
      <c r="I82">
        <v>19</v>
      </c>
      <c r="J82">
        <v>4</v>
      </c>
      <c r="K82">
        <v>3</v>
      </c>
      <c r="L82" s="1">
        <v>42794</v>
      </c>
      <c r="M82" s="1" t="s">
        <v>9</v>
      </c>
    </row>
    <row r="83" spans="1:13" x14ac:dyDescent="0.25">
      <c r="A83">
        <v>1082</v>
      </c>
      <c r="B83">
        <v>36</v>
      </c>
      <c r="C83" t="s">
        <v>32</v>
      </c>
      <c r="D83" t="s">
        <v>16</v>
      </c>
      <c r="E83" t="s">
        <v>41</v>
      </c>
      <c r="F83" t="s">
        <v>42</v>
      </c>
      <c r="G83">
        <v>87302</v>
      </c>
      <c r="H83">
        <v>1</v>
      </c>
      <c r="I83">
        <v>20</v>
      </c>
      <c r="J83">
        <v>1</v>
      </c>
      <c r="K83">
        <v>1</v>
      </c>
      <c r="L83" s="1">
        <v>42057</v>
      </c>
      <c r="M83" s="1" t="s">
        <v>9</v>
      </c>
    </row>
    <row r="84" spans="1:13" x14ac:dyDescent="0.25">
      <c r="A84">
        <v>1083</v>
      </c>
      <c r="B84">
        <v>23</v>
      </c>
      <c r="C84" t="s">
        <v>31</v>
      </c>
      <c r="D84" t="s">
        <v>23</v>
      </c>
      <c r="E84" t="s">
        <v>28</v>
      </c>
      <c r="F84" t="s">
        <v>29</v>
      </c>
      <c r="G84">
        <v>86434</v>
      </c>
      <c r="H84">
        <v>25</v>
      </c>
      <c r="I84">
        <v>57</v>
      </c>
      <c r="J84">
        <v>5</v>
      </c>
      <c r="K84">
        <v>6</v>
      </c>
      <c r="L84" s="1">
        <v>45292</v>
      </c>
      <c r="M84" s="1" t="s">
        <v>9</v>
      </c>
    </row>
    <row r="85" spans="1:13" x14ac:dyDescent="0.25">
      <c r="A85">
        <v>1084</v>
      </c>
      <c r="B85">
        <v>24</v>
      </c>
      <c r="C85" t="s">
        <v>31</v>
      </c>
      <c r="D85" t="s">
        <v>38</v>
      </c>
      <c r="E85" t="s">
        <v>20</v>
      </c>
      <c r="F85" t="s">
        <v>15</v>
      </c>
      <c r="G85">
        <v>50405</v>
      </c>
      <c r="H85">
        <v>17</v>
      </c>
      <c r="I85">
        <v>59</v>
      </c>
      <c r="J85" t="s">
        <v>9</v>
      </c>
      <c r="K85">
        <v>5</v>
      </c>
      <c r="L85" s="1">
        <v>44765</v>
      </c>
      <c r="M85" s="1" t="s">
        <v>9</v>
      </c>
    </row>
    <row r="86" spans="1:13" x14ac:dyDescent="0.25">
      <c r="A86">
        <v>1085</v>
      </c>
      <c r="B86">
        <v>54</v>
      </c>
      <c r="C86" t="s">
        <v>32</v>
      </c>
      <c r="D86" t="s">
        <v>16</v>
      </c>
      <c r="E86" t="s">
        <v>20</v>
      </c>
      <c r="F86" t="s">
        <v>40</v>
      </c>
      <c r="G86">
        <v>97369</v>
      </c>
      <c r="H86">
        <v>26</v>
      </c>
      <c r="I86">
        <v>26</v>
      </c>
      <c r="J86">
        <v>5</v>
      </c>
      <c r="K86">
        <v>1</v>
      </c>
      <c r="L86" s="1">
        <v>44350</v>
      </c>
      <c r="M86" s="1" t="s">
        <v>9</v>
      </c>
    </row>
    <row r="87" spans="1:13" x14ac:dyDescent="0.25">
      <c r="A87">
        <v>1086</v>
      </c>
      <c r="B87">
        <v>44</v>
      </c>
      <c r="C87" t="s">
        <v>32</v>
      </c>
      <c r="D87" t="s">
        <v>27</v>
      </c>
      <c r="E87" t="s">
        <v>28</v>
      </c>
      <c r="F87" t="s">
        <v>24</v>
      </c>
      <c r="G87">
        <v>86747</v>
      </c>
      <c r="H87">
        <v>16</v>
      </c>
      <c r="I87">
        <v>33</v>
      </c>
      <c r="J87">
        <v>5</v>
      </c>
      <c r="K87">
        <v>10</v>
      </c>
      <c r="L87" s="1">
        <v>44954</v>
      </c>
      <c r="M87" s="1" t="s">
        <v>9</v>
      </c>
    </row>
    <row r="88" spans="1:13" x14ac:dyDescent="0.25">
      <c r="A88">
        <v>1087</v>
      </c>
      <c r="B88">
        <v>51</v>
      </c>
      <c r="C88" t="s">
        <v>32</v>
      </c>
      <c r="D88" t="s">
        <v>22</v>
      </c>
      <c r="E88" t="s">
        <v>25</v>
      </c>
      <c r="F88" t="s">
        <v>24</v>
      </c>
      <c r="G88">
        <v>45374</v>
      </c>
      <c r="H88">
        <v>10</v>
      </c>
      <c r="I88">
        <v>39</v>
      </c>
      <c r="J88">
        <v>2</v>
      </c>
      <c r="K88">
        <v>2</v>
      </c>
      <c r="L88" s="1">
        <v>45386</v>
      </c>
      <c r="M88" s="1">
        <v>44570</v>
      </c>
    </row>
    <row r="89" spans="1:13" x14ac:dyDescent="0.25">
      <c r="A89">
        <v>1088</v>
      </c>
      <c r="B89">
        <v>56</v>
      </c>
      <c r="C89" t="s">
        <v>37</v>
      </c>
      <c r="D89" t="s">
        <v>23</v>
      </c>
      <c r="E89" t="s">
        <v>39</v>
      </c>
      <c r="F89" t="s">
        <v>21</v>
      </c>
      <c r="G89">
        <v>99575</v>
      </c>
      <c r="H89">
        <v>15</v>
      </c>
      <c r="I89">
        <v>3</v>
      </c>
      <c r="J89">
        <v>5</v>
      </c>
      <c r="K89">
        <v>9</v>
      </c>
      <c r="L89" s="1">
        <v>43581</v>
      </c>
      <c r="M89" s="1">
        <v>43566</v>
      </c>
    </row>
    <row r="90" spans="1:13" x14ac:dyDescent="0.25">
      <c r="A90">
        <v>1089</v>
      </c>
      <c r="B90">
        <v>48</v>
      </c>
      <c r="C90" t="s">
        <v>32</v>
      </c>
      <c r="D90" t="s">
        <v>27</v>
      </c>
      <c r="E90" t="s">
        <v>28</v>
      </c>
      <c r="F90" t="s">
        <v>44</v>
      </c>
      <c r="G90">
        <v>101696</v>
      </c>
      <c r="H90">
        <v>21</v>
      </c>
      <c r="I90">
        <v>52</v>
      </c>
      <c r="J90">
        <v>3</v>
      </c>
      <c r="K90">
        <v>10</v>
      </c>
      <c r="L90" s="1">
        <v>43559</v>
      </c>
      <c r="M90" s="1">
        <v>44342</v>
      </c>
    </row>
    <row r="91" spans="1:13" x14ac:dyDescent="0.25">
      <c r="A91">
        <v>1090</v>
      </c>
      <c r="B91">
        <v>46</v>
      </c>
      <c r="C91" t="s">
        <v>32</v>
      </c>
      <c r="D91" t="s">
        <v>22</v>
      </c>
      <c r="E91" t="s">
        <v>20</v>
      </c>
      <c r="F91" t="s">
        <v>26</v>
      </c>
      <c r="G91">
        <v>102594</v>
      </c>
      <c r="H91">
        <v>7</v>
      </c>
      <c r="I91">
        <v>13</v>
      </c>
      <c r="J91">
        <v>1</v>
      </c>
      <c r="K91">
        <v>1</v>
      </c>
      <c r="L91" s="1">
        <v>42576</v>
      </c>
      <c r="M91" s="1" t="s">
        <v>9</v>
      </c>
    </row>
    <row r="92" spans="1:13" x14ac:dyDescent="0.25">
      <c r="A92">
        <v>1091</v>
      </c>
      <c r="B92">
        <v>51</v>
      </c>
      <c r="C92" t="s">
        <v>31</v>
      </c>
      <c r="D92" t="s">
        <v>27</v>
      </c>
      <c r="E92" t="s">
        <v>41</v>
      </c>
      <c r="F92" t="s">
        <v>18</v>
      </c>
      <c r="G92">
        <v>65304</v>
      </c>
      <c r="H92">
        <v>27</v>
      </c>
      <c r="I92">
        <v>8</v>
      </c>
      <c r="J92">
        <v>5</v>
      </c>
      <c r="K92">
        <v>10</v>
      </c>
      <c r="L92" s="1">
        <v>43853</v>
      </c>
      <c r="M92" s="1" t="s">
        <v>9</v>
      </c>
    </row>
    <row r="93" spans="1:13" x14ac:dyDescent="0.25">
      <c r="A93">
        <v>1092</v>
      </c>
      <c r="B93">
        <v>54</v>
      </c>
      <c r="C93" t="s">
        <v>31</v>
      </c>
      <c r="D93" t="s">
        <v>13</v>
      </c>
      <c r="E93" t="s">
        <v>41</v>
      </c>
      <c r="F93" t="s">
        <v>17</v>
      </c>
      <c r="G93">
        <v>82648</v>
      </c>
      <c r="H93">
        <v>1</v>
      </c>
      <c r="I93">
        <v>9</v>
      </c>
      <c r="J93">
        <v>2</v>
      </c>
      <c r="K93">
        <v>8</v>
      </c>
      <c r="L93" s="1">
        <v>45082</v>
      </c>
      <c r="M93" s="1" t="s">
        <v>9</v>
      </c>
    </row>
    <row r="94" spans="1:13" x14ac:dyDescent="0.25">
      <c r="A94">
        <v>1093</v>
      </c>
      <c r="B94">
        <v>43</v>
      </c>
      <c r="C94" t="s">
        <v>32</v>
      </c>
      <c r="D94" t="s">
        <v>16</v>
      </c>
      <c r="E94" t="s">
        <v>14</v>
      </c>
      <c r="F94" t="s">
        <v>26</v>
      </c>
      <c r="G94">
        <v>83591</v>
      </c>
      <c r="H94">
        <v>18</v>
      </c>
      <c r="I94">
        <v>50</v>
      </c>
      <c r="J94" t="s">
        <v>9</v>
      </c>
      <c r="K94">
        <v>6</v>
      </c>
      <c r="L94" s="1">
        <v>44013</v>
      </c>
      <c r="M94" s="1">
        <v>44658</v>
      </c>
    </row>
    <row r="95" spans="1:13" x14ac:dyDescent="0.25">
      <c r="A95">
        <v>1094</v>
      </c>
      <c r="B95">
        <v>53</v>
      </c>
      <c r="C95" t="s">
        <v>32</v>
      </c>
      <c r="D95" t="s">
        <v>22</v>
      </c>
      <c r="E95" t="s">
        <v>14</v>
      </c>
      <c r="F95" t="s">
        <v>17</v>
      </c>
      <c r="G95">
        <v>52987</v>
      </c>
      <c r="H95">
        <v>13</v>
      </c>
      <c r="I95">
        <v>27</v>
      </c>
      <c r="J95">
        <v>5</v>
      </c>
      <c r="K95">
        <v>5</v>
      </c>
      <c r="L95" s="1">
        <v>43670</v>
      </c>
      <c r="M95" s="1">
        <v>44414</v>
      </c>
    </row>
    <row r="96" spans="1:13" x14ac:dyDescent="0.25">
      <c r="A96">
        <v>1095</v>
      </c>
      <c r="B96">
        <v>33</v>
      </c>
      <c r="C96" t="s">
        <v>32</v>
      </c>
      <c r="D96" t="s">
        <v>13</v>
      </c>
      <c r="E96" t="s">
        <v>39</v>
      </c>
      <c r="F96" t="s">
        <v>18</v>
      </c>
      <c r="G96">
        <v>74523</v>
      </c>
      <c r="H96">
        <v>20</v>
      </c>
      <c r="I96">
        <v>4</v>
      </c>
      <c r="J96">
        <v>3</v>
      </c>
      <c r="K96">
        <v>1</v>
      </c>
      <c r="L96" s="1">
        <v>44318</v>
      </c>
      <c r="M96" s="1" t="s">
        <v>9</v>
      </c>
    </row>
    <row r="97" spans="1:13" x14ac:dyDescent="0.25">
      <c r="A97">
        <v>1096</v>
      </c>
      <c r="B97">
        <v>43</v>
      </c>
      <c r="C97" t="s">
        <v>32</v>
      </c>
      <c r="D97" t="s">
        <v>36</v>
      </c>
      <c r="E97" t="s">
        <v>20</v>
      </c>
      <c r="F97" t="s">
        <v>18</v>
      </c>
      <c r="G97">
        <v>74446</v>
      </c>
      <c r="H97">
        <v>3</v>
      </c>
      <c r="I97">
        <v>22</v>
      </c>
      <c r="J97">
        <v>4</v>
      </c>
      <c r="K97">
        <v>3</v>
      </c>
      <c r="L97" s="1">
        <v>43247</v>
      </c>
      <c r="M97" s="1" t="s">
        <v>9</v>
      </c>
    </row>
    <row r="98" spans="1:13" x14ac:dyDescent="0.25">
      <c r="A98">
        <v>1097</v>
      </c>
      <c r="B98">
        <v>59</v>
      </c>
      <c r="C98" t="s">
        <v>33</v>
      </c>
      <c r="D98" t="s">
        <v>16</v>
      </c>
      <c r="E98" t="s">
        <v>14</v>
      </c>
      <c r="F98" t="s">
        <v>15</v>
      </c>
      <c r="G98">
        <v>94645</v>
      </c>
      <c r="H98">
        <v>23</v>
      </c>
      <c r="I98">
        <v>14</v>
      </c>
      <c r="J98">
        <v>4</v>
      </c>
      <c r="K98">
        <v>1</v>
      </c>
      <c r="L98" s="1">
        <v>44826</v>
      </c>
      <c r="M98" s="1" t="s">
        <v>9</v>
      </c>
    </row>
    <row r="99" spans="1:13" x14ac:dyDescent="0.25">
      <c r="A99">
        <v>1098</v>
      </c>
      <c r="B99">
        <v>22</v>
      </c>
      <c r="C99" t="s">
        <v>37</v>
      </c>
      <c r="D99" t="s">
        <v>23</v>
      </c>
      <c r="E99" t="s">
        <v>20</v>
      </c>
      <c r="F99" t="s">
        <v>24</v>
      </c>
      <c r="G99">
        <v>47366</v>
      </c>
      <c r="H99">
        <v>17</v>
      </c>
      <c r="I99">
        <v>13</v>
      </c>
      <c r="J99">
        <v>2</v>
      </c>
      <c r="K99">
        <v>4</v>
      </c>
      <c r="L99" s="1">
        <v>44503</v>
      </c>
      <c r="M99" s="1">
        <v>43599</v>
      </c>
    </row>
    <row r="100" spans="1:13" x14ac:dyDescent="0.25">
      <c r="A100">
        <v>1099</v>
      </c>
      <c r="B100">
        <v>34</v>
      </c>
      <c r="C100" t="s">
        <v>32</v>
      </c>
      <c r="D100" t="s">
        <v>38</v>
      </c>
      <c r="E100" t="s">
        <v>25</v>
      </c>
      <c r="F100" t="s">
        <v>29</v>
      </c>
      <c r="G100">
        <v>60164</v>
      </c>
      <c r="H100">
        <v>30</v>
      </c>
      <c r="I100">
        <v>24</v>
      </c>
      <c r="J100">
        <v>3</v>
      </c>
      <c r="K100">
        <v>3</v>
      </c>
      <c r="L100" s="1">
        <v>43906</v>
      </c>
      <c r="M100" s="1" t="s">
        <v>9</v>
      </c>
    </row>
    <row r="101" spans="1:13" x14ac:dyDescent="0.25">
      <c r="A101">
        <v>1100</v>
      </c>
      <c r="B101">
        <v>35</v>
      </c>
      <c r="C101" t="s">
        <v>32</v>
      </c>
      <c r="D101" t="s">
        <v>19</v>
      </c>
      <c r="E101" t="s">
        <v>20</v>
      </c>
      <c r="F101" t="s">
        <v>44</v>
      </c>
      <c r="G101">
        <v>71862</v>
      </c>
      <c r="H101">
        <v>25</v>
      </c>
      <c r="I101">
        <v>46</v>
      </c>
      <c r="J101">
        <v>3</v>
      </c>
      <c r="K101">
        <v>9</v>
      </c>
      <c r="L101" s="1">
        <v>42156</v>
      </c>
      <c r="M101" s="1" t="s">
        <v>9</v>
      </c>
    </row>
    <row r="102" spans="1:13" x14ac:dyDescent="0.25">
      <c r="A102">
        <v>1101</v>
      </c>
      <c r="B102">
        <v>48</v>
      </c>
      <c r="C102" t="s">
        <v>32</v>
      </c>
      <c r="D102" t="s">
        <v>22</v>
      </c>
      <c r="E102" t="s">
        <v>28</v>
      </c>
      <c r="F102" t="s">
        <v>15</v>
      </c>
      <c r="G102">
        <v>89395</v>
      </c>
      <c r="H102">
        <v>16</v>
      </c>
      <c r="I102">
        <v>3</v>
      </c>
      <c r="J102">
        <v>2</v>
      </c>
      <c r="K102">
        <v>7</v>
      </c>
      <c r="L102" s="1">
        <v>43709</v>
      </c>
      <c r="M102" s="1" t="s">
        <v>9</v>
      </c>
    </row>
    <row r="103" spans="1:13" x14ac:dyDescent="0.25">
      <c r="A103">
        <v>1102</v>
      </c>
      <c r="B103">
        <v>45</v>
      </c>
      <c r="C103" t="s">
        <v>31</v>
      </c>
      <c r="D103" t="s">
        <v>27</v>
      </c>
      <c r="E103" t="s">
        <v>34</v>
      </c>
      <c r="F103" t="s">
        <v>18</v>
      </c>
      <c r="G103">
        <v>72318</v>
      </c>
      <c r="H103">
        <v>15</v>
      </c>
      <c r="I103">
        <v>52</v>
      </c>
      <c r="J103">
        <v>4</v>
      </c>
      <c r="K103">
        <v>7</v>
      </c>
      <c r="L103" s="1">
        <v>44251</v>
      </c>
      <c r="M103" s="1" t="s">
        <v>9</v>
      </c>
    </row>
    <row r="104" spans="1:13" x14ac:dyDescent="0.25">
      <c r="A104">
        <v>1103</v>
      </c>
      <c r="B104">
        <v>28</v>
      </c>
      <c r="C104" t="s">
        <v>33</v>
      </c>
      <c r="D104" t="s">
        <v>27</v>
      </c>
      <c r="E104" t="s">
        <v>28</v>
      </c>
      <c r="F104" t="s">
        <v>17</v>
      </c>
      <c r="G104">
        <v>66232</v>
      </c>
      <c r="H104">
        <v>25</v>
      </c>
      <c r="I104">
        <v>33</v>
      </c>
      <c r="J104">
        <v>3</v>
      </c>
      <c r="K104">
        <v>4</v>
      </c>
      <c r="L104" s="1">
        <v>42100</v>
      </c>
      <c r="M104" s="1" t="s">
        <v>9</v>
      </c>
    </row>
    <row r="105" spans="1:13" x14ac:dyDescent="0.25">
      <c r="A105">
        <v>1104</v>
      </c>
      <c r="B105">
        <v>58</v>
      </c>
      <c r="C105" t="s">
        <v>31</v>
      </c>
      <c r="D105" t="s">
        <v>22</v>
      </c>
      <c r="E105" t="s">
        <v>20</v>
      </c>
      <c r="F105" t="s">
        <v>24</v>
      </c>
      <c r="G105">
        <v>64240</v>
      </c>
      <c r="H105">
        <v>3</v>
      </c>
      <c r="I105">
        <v>17</v>
      </c>
      <c r="J105">
        <v>2</v>
      </c>
      <c r="K105">
        <v>9</v>
      </c>
      <c r="L105" s="1">
        <v>45529</v>
      </c>
      <c r="M105" s="1" t="s">
        <v>9</v>
      </c>
    </row>
    <row r="106" spans="1:13" x14ac:dyDescent="0.25">
      <c r="A106">
        <v>1105</v>
      </c>
      <c r="B106">
        <v>55</v>
      </c>
      <c r="C106" t="s">
        <v>31</v>
      </c>
      <c r="D106" t="s">
        <v>13</v>
      </c>
      <c r="E106" t="s">
        <v>12</v>
      </c>
      <c r="F106" t="s">
        <v>24</v>
      </c>
      <c r="G106">
        <v>50073</v>
      </c>
      <c r="H106">
        <v>13</v>
      </c>
      <c r="I106">
        <v>37</v>
      </c>
      <c r="J106">
        <v>5</v>
      </c>
      <c r="K106">
        <v>7</v>
      </c>
      <c r="L106" s="1">
        <v>42689</v>
      </c>
      <c r="M106" s="1" t="s">
        <v>9</v>
      </c>
    </row>
    <row r="107" spans="1:13" x14ac:dyDescent="0.25">
      <c r="A107">
        <v>1106</v>
      </c>
      <c r="B107">
        <v>30</v>
      </c>
      <c r="C107" t="s">
        <v>31</v>
      </c>
      <c r="D107" t="s">
        <v>23</v>
      </c>
      <c r="E107" t="s">
        <v>39</v>
      </c>
      <c r="F107" t="s">
        <v>29</v>
      </c>
      <c r="G107">
        <v>97985</v>
      </c>
      <c r="H107">
        <v>20</v>
      </c>
      <c r="I107">
        <v>24</v>
      </c>
      <c r="J107" t="s">
        <v>9</v>
      </c>
      <c r="K107">
        <v>1</v>
      </c>
      <c r="L107" s="1">
        <v>43157</v>
      </c>
      <c r="M107" s="1" t="s">
        <v>9</v>
      </c>
    </row>
    <row r="108" spans="1:13" x14ac:dyDescent="0.25">
      <c r="A108">
        <v>1107</v>
      </c>
      <c r="B108">
        <v>59</v>
      </c>
      <c r="C108" t="s">
        <v>43</v>
      </c>
      <c r="D108" t="s">
        <v>27</v>
      </c>
      <c r="E108" t="s">
        <v>14</v>
      </c>
      <c r="F108" t="s">
        <v>24</v>
      </c>
      <c r="G108">
        <v>56027</v>
      </c>
      <c r="H108">
        <v>14</v>
      </c>
      <c r="I108">
        <v>48</v>
      </c>
      <c r="J108">
        <v>1</v>
      </c>
      <c r="K108">
        <v>6</v>
      </c>
      <c r="L108" s="1">
        <v>43225</v>
      </c>
      <c r="M108" s="1">
        <v>43484</v>
      </c>
    </row>
    <row r="109" spans="1:13" x14ac:dyDescent="0.25">
      <c r="A109">
        <v>1108</v>
      </c>
      <c r="B109">
        <v>26</v>
      </c>
      <c r="C109" t="s">
        <v>32</v>
      </c>
      <c r="D109" t="s">
        <v>22</v>
      </c>
      <c r="E109" t="s">
        <v>20</v>
      </c>
      <c r="F109" t="s">
        <v>17</v>
      </c>
      <c r="G109">
        <v>100291</v>
      </c>
      <c r="H109">
        <v>16</v>
      </c>
      <c r="I109">
        <v>51</v>
      </c>
      <c r="J109">
        <v>1</v>
      </c>
      <c r="K109">
        <v>1</v>
      </c>
      <c r="L109" s="1">
        <v>44003</v>
      </c>
      <c r="M109" s="1" t="s">
        <v>9</v>
      </c>
    </row>
    <row r="110" spans="1:13" x14ac:dyDescent="0.25">
      <c r="A110">
        <v>1109</v>
      </c>
      <c r="B110">
        <v>34</v>
      </c>
      <c r="C110" t="s">
        <v>37</v>
      </c>
      <c r="D110" t="s">
        <v>23</v>
      </c>
      <c r="E110" t="s">
        <v>28</v>
      </c>
      <c r="F110" t="s">
        <v>15</v>
      </c>
      <c r="G110">
        <v>98907</v>
      </c>
      <c r="H110">
        <v>27</v>
      </c>
      <c r="I110">
        <v>33</v>
      </c>
      <c r="J110">
        <v>4</v>
      </c>
      <c r="K110">
        <v>3</v>
      </c>
      <c r="L110" s="1">
        <v>43854</v>
      </c>
      <c r="M110" s="1" t="s">
        <v>9</v>
      </c>
    </row>
    <row r="111" spans="1:13" x14ac:dyDescent="0.25">
      <c r="A111">
        <v>1110</v>
      </c>
      <c r="B111">
        <v>28</v>
      </c>
      <c r="C111" t="s">
        <v>32</v>
      </c>
      <c r="D111" t="s">
        <v>16</v>
      </c>
      <c r="E111" t="s">
        <v>12</v>
      </c>
      <c r="F111" t="s">
        <v>18</v>
      </c>
      <c r="G111">
        <v>87540</v>
      </c>
      <c r="H111">
        <v>0</v>
      </c>
      <c r="I111">
        <v>10</v>
      </c>
      <c r="J111">
        <v>4</v>
      </c>
      <c r="K111">
        <v>5</v>
      </c>
      <c r="L111" s="1">
        <v>44402</v>
      </c>
      <c r="M111" s="1" t="s">
        <v>9</v>
      </c>
    </row>
    <row r="112" spans="1:13" x14ac:dyDescent="0.25">
      <c r="A112">
        <v>1111</v>
      </c>
      <c r="B112">
        <v>41</v>
      </c>
      <c r="C112" t="s">
        <v>32</v>
      </c>
      <c r="D112" t="s">
        <v>13</v>
      </c>
      <c r="E112" t="s">
        <v>20</v>
      </c>
      <c r="F112" t="s">
        <v>24</v>
      </c>
      <c r="G112">
        <v>72592</v>
      </c>
      <c r="H112">
        <v>18</v>
      </c>
      <c r="I112">
        <v>15</v>
      </c>
      <c r="J112" t="s">
        <v>9</v>
      </c>
      <c r="K112">
        <v>2</v>
      </c>
      <c r="L112" s="1">
        <v>43566</v>
      </c>
      <c r="M112" s="1" t="s">
        <v>9</v>
      </c>
    </row>
    <row r="113" spans="1:13" x14ac:dyDescent="0.25">
      <c r="A113">
        <v>1112</v>
      </c>
      <c r="B113">
        <v>54</v>
      </c>
      <c r="C113" t="s">
        <v>32</v>
      </c>
      <c r="D113" t="s">
        <v>27</v>
      </c>
      <c r="E113" t="s">
        <v>14</v>
      </c>
      <c r="F113" t="s">
        <v>17</v>
      </c>
      <c r="G113">
        <v>56543</v>
      </c>
      <c r="H113">
        <v>22</v>
      </c>
      <c r="I113">
        <v>39</v>
      </c>
      <c r="J113">
        <v>1</v>
      </c>
      <c r="K113">
        <v>8</v>
      </c>
      <c r="L113" s="1">
        <v>43819</v>
      </c>
      <c r="M113" s="1" t="s">
        <v>9</v>
      </c>
    </row>
    <row r="114" spans="1:13" x14ac:dyDescent="0.25">
      <c r="A114">
        <v>1113</v>
      </c>
      <c r="B114">
        <v>33</v>
      </c>
      <c r="C114" t="s">
        <v>32</v>
      </c>
      <c r="D114" t="s">
        <v>13</v>
      </c>
      <c r="E114" t="s">
        <v>12</v>
      </c>
      <c r="F114" t="s">
        <v>29</v>
      </c>
      <c r="G114">
        <v>47252</v>
      </c>
      <c r="H114">
        <v>10</v>
      </c>
      <c r="I114">
        <v>36</v>
      </c>
      <c r="J114">
        <v>2</v>
      </c>
      <c r="K114">
        <v>9</v>
      </c>
      <c r="L114" s="1">
        <v>44666</v>
      </c>
      <c r="M114" s="1" t="s">
        <v>9</v>
      </c>
    </row>
    <row r="115" spans="1:13" x14ac:dyDescent="0.25">
      <c r="A115">
        <v>1114</v>
      </c>
      <c r="B115">
        <v>57</v>
      </c>
      <c r="C115" t="s">
        <v>31</v>
      </c>
      <c r="D115" t="s">
        <v>16</v>
      </c>
      <c r="E115" t="s">
        <v>25</v>
      </c>
      <c r="F115" t="s">
        <v>21</v>
      </c>
      <c r="G115">
        <v>89968</v>
      </c>
      <c r="H115">
        <v>9</v>
      </c>
      <c r="I115">
        <v>51</v>
      </c>
      <c r="J115">
        <v>5</v>
      </c>
      <c r="K115">
        <v>2</v>
      </c>
      <c r="L115" s="1">
        <v>42263</v>
      </c>
      <c r="M115" s="1" t="s">
        <v>9</v>
      </c>
    </row>
    <row r="116" spans="1:13" x14ac:dyDescent="0.25">
      <c r="A116">
        <v>1115</v>
      </c>
      <c r="B116">
        <v>28</v>
      </c>
      <c r="C116" t="s">
        <v>43</v>
      </c>
      <c r="D116" t="s">
        <v>16</v>
      </c>
      <c r="E116" t="s">
        <v>14</v>
      </c>
      <c r="F116" t="s">
        <v>15</v>
      </c>
      <c r="G116">
        <v>83674</v>
      </c>
      <c r="H116">
        <v>23</v>
      </c>
      <c r="I116">
        <v>13</v>
      </c>
      <c r="J116">
        <v>2</v>
      </c>
      <c r="K116">
        <v>2</v>
      </c>
      <c r="L116" s="1">
        <v>44674</v>
      </c>
      <c r="M116" s="1" t="s">
        <v>9</v>
      </c>
    </row>
    <row r="117" spans="1:13" x14ac:dyDescent="0.25">
      <c r="A117">
        <v>1116</v>
      </c>
      <c r="B117">
        <v>25</v>
      </c>
      <c r="C117" t="s">
        <v>31</v>
      </c>
      <c r="D117" t="s">
        <v>19</v>
      </c>
      <c r="E117" t="s">
        <v>20</v>
      </c>
      <c r="F117" t="s">
        <v>15</v>
      </c>
      <c r="G117">
        <v>45667</v>
      </c>
      <c r="H117">
        <v>29</v>
      </c>
      <c r="I117">
        <v>51</v>
      </c>
      <c r="J117">
        <v>2</v>
      </c>
      <c r="K117">
        <v>5</v>
      </c>
      <c r="L117" s="1">
        <v>42076</v>
      </c>
      <c r="M117" s="1" t="s">
        <v>9</v>
      </c>
    </row>
    <row r="118" spans="1:13" x14ac:dyDescent="0.25">
      <c r="A118">
        <v>1117</v>
      </c>
      <c r="B118">
        <v>37</v>
      </c>
      <c r="C118" t="s">
        <v>43</v>
      </c>
      <c r="D118" t="s">
        <v>27</v>
      </c>
      <c r="E118" t="s">
        <v>12</v>
      </c>
      <c r="F118" t="s">
        <v>44</v>
      </c>
      <c r="G118">
        <v>57903</v>
      </c>
      <c r="H118">
        <v>29</v>
      </c>
      <c r="I118">
        <v>42</v>
      </c>
      <c r="J118">
        <v>4</v>
      </c>
      <c r="K118">
        <v>4</v>
      </c>
      <c r="L118" s="1">
        <v>42782</v>
      </c>
      <c r="M118" s="1" t="s">
        <v>9</v>
      </c>
    </row>
    <row r="119" spans="1:13" x14ac:dyDescent="0.25">
      <c r="A119">
        <v>1118</v>
      </c>
      <c r="B119">
        <v>55</v>
      </c>
      <c r="C119" t="s">
        <v>31</v>
      </c>
      <c r="D119" t="s">
        <v>27</v>
      </c>
      <c r="E119" t="s">
        <v>14</v>
      </c>
      <c r="F119" t="s">
        <v>29</v>
      </c>
      <c r="G119">
        <v>86254</v>
      </c>
      <c r="H119">
        <v>16</v>
      </c>
      <c r="I119">
        <v>21</v>
      </c>
      <c r="J119">
        <v>4</v>
      </c>
      <c r="K119">
        <v>10</v>
      </c>
      <c r="L119" s="1">
        <v>43042</v>
      </c>
      <c r="M119" s="1" t="s">
        <v>9</v>
      </c>
    </row>
    <row r="120" spans="1:13" x14ac:dyDescent="0.25">
      <c r="A120">
        <v>1119</v>
      </c>
      <c r="B120">
        <v>53</v>
      </c>
      <c r="C120" t="s">
        <v>31</v>
      </c>
      <c r="D120" t="s">
        <v>36</v>
      </c>
      <c r="E120" t="s">
        <v>34</v>
      </c>
      <c r="F120" t="s">
        <v>17</v>
      </c>
      <c r="G120">
        <v>96778</v>
      </c>
      <c r="H120">
        <v>28</v>
      </c>
      <c r="I120">
        <v>18</v>
      </c>
      <c r="J120">
        <v>1</v>
      </c>
      <c r="K120">
        <v>6</v>
      </c>
      <c r="L120" s="1">
        <v>45096</v>
      </c>
      <c r="M120" s="1" t="s">
        <v>9</v>
      </c>
    </row>
    <row r="121" spans="1:13" x14ac:dyDescent="0.25">
      <c r="A121">
        <v>1120</v>
      </c>
      <c r="B121">
        <v>53</v>
      </c>
      <c r="C121" t="s">
        <v>31</v>
      </c>
      <c r="D121" t="s">
        <v>16</v>
      </c>
      <c r="E121" t="s">
        <v>20</v>
      </c>
      <c r="F121" t="s">
        <v>24</v>
      </c>
      <c r="G121">
        <v>79360</v>
      </c>
      <c r="H121">
        <v>18</v>
      </c>
      <c r="I121">
        <v>24</v>
      </c>
      <c r="J121" t="s">
        <v>9</v>
      </c>
      <c r="K121">
        <v>8</v>
      </c>
      <c r="L121" s="1">
        <v>44615</v>
      </c>
      <c r="M121" s="1" t="s">
        <v>9</v>
      </c>
    </row>
    <row r="122" spans="1:13" x14ac:dyDescent="0.25">
      <c r="A122">
        <v>1121</v>
      </c>
      <c r="B122">
        <v>54</v>
      </c>
      <c r="C122" t="s">
        <v>31</v>
      </c>
      <c r="D122" t="s">
        <v>23</v>
      </c>
      <c r="E122" t="s">
        <v>28</v>
      </c>
      <c r="F122" t="s">
        <v>17</v>
      </c>
      <c r="G122">
        <v>68020</v>
      </c>
      <c r="H122">
        <v>1</v>
      </c>
      <c r="I122">
        <v>44</v>
      </c>
      <c r="J122">
        <v>4</v>
      </c>
      <c r="K122">
        <v>2</v>
      </c>
      <c r="L122" s="1">
        <v>42136</v>
      </c>
      <c r="M122" s="1" t="s">
        <v>9</v>
      </c>
    </row>
    <row r="123" spans="1:13" x14ac:dyDescent="0.25">
      <c r="A123">
        <v>1122</v>
      </c>
      <c r="B123">
        <v>22</v>
      </c>
      <c r="C123" t="s">
        <v>32</v>
      </c>
      <c r="D123" t="s">
        <v>38</v>
      </c>
      <c r="E123" t="s">
        <v>20</v>
      </c>
      <c r="F123" t="s">
        <v>29</v>
      </c>
      <c r="G123">
        <v>96272</v>
      </c>
      <c r="H123">
        <v>23</v>
      </c>
      <c r="I123">
        <v>55</v>
      </c>
      <c r="J123">
        <v>5</v>
      </c>
      <c r="K123">
        <v>4</v>
      </c>
      <c r="L123" s="1">
        <v>43551</v>
      </c>
      <c r="M123" s="1">
        <v>44679</v>
      </c>
    </row>
    <row r="124" spans="1:13" x14ac:dyDescent="0.25">
      <c r="A124">
        <v>1123</v>
      </c>
      <c r="B124">
        <v>41</v>
      </c>
      <c r="C124" t="s">
        <v>31</v>
      </c>
      <c r="D124" t="s">
        <v>13</v>
      </c>
      <c r="E124" t="s">
        <v>41</v>
      </c>
      <c r="F124" t="s">
        <v>21</v>
      </c>
      <c r="G124">
        <v>58693</v>
      </c>
      <c r="H124">
        <v>0</v>
      </c>
      <c r="I124">
        <v>44</v>
      </c>
      <c r="J124">
        <v>1</v>
      </c>
      <c r="K124">
        <v>7</v>
      </c>
      <c r="L124" s="1">
        <v>43617</v>
      </c>
      <c r="M124" s="1" t="s">
        <v>9</v>
      </c>
    </row>
    <row r="125" spans="1:13" x14ac:dyDescent="0.25">
      <c r="A125">
        <v>1124</v>
      </c>
      <c r="B125">
        <v>38</v>
      </c>
      <c r="C125" t="s">
        <v>32</v>
      </c>
      <c r="D125" t="s">
        <v>16</v>
      </c>
      <c r="E125" t="s">
        <v>14</v>
      </c>
      <c r="F125" t="s">
        <v>44</v>
      </c>
      <c r="G125">
        <v>85507</v>
      </c>
      <c r="H125">
        <v>20</v>
      </c>
      <c r="I125">
        <v>51</v>
      </c>
      <c r="J125">
        <v>2</v>
      </c>
      <c r="K125">
        <v>9</v>
      </c>
      <c r="L125" s="1">
        <v>42479</v>
      </c>
      <c r="M125" s="1" t="s">
        <v>9</v>
      </c>
    </row>
    <row r="126" spans="1:13" x14ac:dyDescent="0.25">
      <c r="A126">
        <v>1125</v>
      </c>
      <c r="B126">
        <v>41</v>
      </c>
      <c r="C126" t="s">
        <v>37</v>
      </c>
      <c r="D126" t="s">
        <v>23</v>
      </c>
      <c r="E126" t="s">
        <v>12</v>
      </c>
      <c r="F126" t="s">
        <v>15</v>
      </c>
      <c r="G126">
        <v>67670</v>
      </c>
      <c r="H126">
        <v>7</v>
      </c>
      <c r="I126">
        <v>37</v>
      </c>
      <c r="J126">
        <v>4</v>
      </c>
      <c r="K126">
        <v>10</v>
      </c>
      <c r="L126" s="1">
        <v>44905</v>
      </c>
      <c r="M126" s="1" t="s">
        <v>9</v>
      </c>
    </row>
    <row r="127" spans="1:13" x14ac:dyDescent="0.25">
      <c r="A127">
        <v>1126</v>
      </c>
      <c r="B127">
        <v>44</v>
      </c>
      <c r="C127" t="s">
        <v>33</v>
      </c>
      <c r="D127" t="s">
        <v>27</v>
      </c>
      <c r="E127" t="s">
        <v>14</v>
      </c>
      <c r="F127" t="s">
        <v>15</v>
      </c>
      <c r="G127">
        <v>69512</v>
      </c>
      <c r="H127">
        <v>1</v>
      </c>
      <c r="I127">
        <v>1</v>
      </c>
      <c r="J127">
        <v>3</v>
      </c>
      <c r="K127">
        <v>1</v>
      </c>
      <c r="L127" s="1">
        <v>45241</v>
      </c>
      <c r="M127" s="1" t="s">
        <v>9</v>
      </c>
    </row>
    <row r="128" spans="1:13" x14ac:dyDescent="0.25">
      <c r="A128">
        <v>1127</v>
      </c>
      <c r="B128">
        <v>22</v>
      </c>
      <c r="C128" t="s">
        <v>37</v>
      </c>
      <c r="D128" t="s">
        <v>23</v>
      </c>
      <c r="E128" t="s">
        <v>25</v>
      </c>
      <c r="F128" t="s">
        <v>18</v>
      </c>
      <c r="G128">
        <v>74695</v>
      </c>
      <c r="H128">
        <v>26</v>
      </c>
      <c r="I128">
        <v>27</v>
      </c>
      <c r="J128">
        <v>3</v>
      </c>
      <c r="K128">
        <v>2</v>
      </c>
      <c r="L128" s="1">
        <v>45539</v>
      </c>
      <c r="M128" s="1">
        <v>45456</v>
      </c>
    </row>
    <row r="129" spans="1:13" x14ac:dyDescent="0.25">
      <c r="A129">
        <v>1128</v>
      </c>
      <c r="B129">
        <v>53</v>
      </c>
      <c r="C129" t="s">
        <v>43</v>
      </c>
      <c r="D129" t="s">
        <v>22</v>
      </c>
      <c r="E129" t="s">
        <v>39</v>
      </c>
      <c r="F129" t="s">
        <v>29</v>
      </c>
      <c r="G129">
        <v>109670</v>
      </c>
      <c r="H129">
        <v>15</v>
      </c>
      <c r="I129">
        <v>15</v>
      </c>
      <c r="J129">
        <v>3</v>
      </c>
      <c r="K129">
        <v>6</v>
      </c>
      <c r="L129" s="1">
        <v>44476</v>
      </c>
      <c r="M129" s="1" t="s">
        <v>9</v>
      </c>
    </row>
    <row r="130" spans="1:13" x14ac:dyDescent="0.25">
      <c r="A130">
        <v>1129</v>
      </c>
      <c r="B130">
        <v>43</v>
      </c>
      <c r="C130" t="s">
        <v>37</v>
      </c>
      <c r="D130" t="s">
        <v>19</v>
      </c>
      <c r="E130" t="s">
        <v>28</v>
      </c>
      <c r="F130" t="s">
        <v>21</v>
      </c>
      <c r="G130">
        <v>77199</v>
      </c>
      <c r="H130">
        <v>10</v>
      </c>
      <c r="I130">
        <v>38</v>
      </c>
      <c r="J130">
        <v>1</v>
      </c>
      <c r="K130">
        <v>2</v>
      </c>
      <c r="L130" s="1">
        <v>45061</v>
      </c>
      <c r="M130" s="1">
        <v>43354</v>
      </c>
    </row>
    <row r="131" spans="1:13" x14ac:dyDescent="0.25">
      <c r="A131">
        <v>1130</v>
      </c>
      <c r="B131">
        <v>60</v>
      </c>
      <c r="C131" t="s">
        <v>32</v>
      </c>
      <c r="D131" t="s">
        <v>36</v>
      </c>
      <c r="E131" t="s">
        <v>41</v>
      </c>
      <c r="F131" t="s">
        <v>40</v>
      </c>
      <c r="G131">
        <v>57724</v>
      </c>
      <c r="H131">
        <v>23</v>
      </c>
      <c r="I131">
        <v>51</v>
      </c>
      <c r="J131">
        <v>2</v>
      </c>
      <c r="K131">
        <v>9</v>
      </c>
      <c r="L131" s="1">
        <v>42487</v>
      </c>
      <c r="M131" s="1" t="s">
        <v>9</v>
      </c>
    </row>
    <row r="132" spans="1:13" x14ac:dyDescent="0.25">
      <c r="A132">
        <v>1131</v>
      </c>
      <c r="B132">
        <v>43</v>
      </c>
      <c r="C132" t="s">
        <v>31</v>
      </c>
      <c r="D132" t="s">
        <v>23</v>
      </c>
      <c r="E132" t="s">
        <v>39</v>
      </c>
      <c r="F132" t="s">
        <v>15</v>
      </c>
      <c r="G132">
        <v>89999</v>
      </c>
      <c r="H132">
        <v>30</v>
      </c>
      <c r="I132">
        <v>4</v>
      </c>
      <c r="J132">
        <v>5</v>
      </c>
      <c r="K132">
        <v>2</v>
      </c>
      <c r="L132" s="1">
        <v>43412</v>
      </c>
      <c r="M132" s="1">
        <v>45078</v>
      </c>
    </row>
    <row r="133" spans="1:13" x14ac:dyDescent="0.25">
      <c r="A133">
        <v>1132</v>
      </c>
      <c r="B133">
        <v>53</v>
      </c>
      <c r="C133" t="s">
        <v>32</v>
      </c>
      <c r="D133" t="s">
        <v>27</v>
      </c>
      <c r="E133" t="s">
        <v>34</v>
      </c>
      <c r="F133" t="s">
        <v>29</v>
      </c>
      <c r="G133">
        <v>53809</v>
      </c>
      <c r="H133">
        <v>25</v>
      </c>
      <c r="I133">
        <v>48</v>
      </c>
      <c r="J133">
        <v>3</v>
      </c>
      <c r="K133">
        <v>8</v>
      </c>
      <c r="L133" s="1">
        <v>42808</v>
      </c>
      <c r="M133" s="1" t="s">
        <v>9</v>
      </c>
    </row>
    <row r="134" spans="1:13" x14ac:dyDescent="0.25">
      <c r="A134">
        <v>1133</v>
      </c>
      <c r="B134">
        <v>45</v>
      </c>
      <c r="C134" t="s">
        <v>31</v>
      </c>
      <c r="D134" t="s">
        <v>13</v>
      </c>
      <c r="E134" t="s">
        <v>14</v>
      </c>
      <c r="F134" t="s">
        <v>44</v>
      </c>
      <c r="G134">
        <v>103107</v>
      </c>
      <c r="H134">
        <v>18</v>
      </c>
      <c r="I134">
        <v>52</v>
      </c>
      <c r="J134">
        <v>5</v>
      </c>
      <c r="K134">
        <v>10</v>
      </c>
      <c r="L134" s="1">
        <v>45448</v>
      </c>
      <c r="M134" s="1">
        <v>45475</v>
      </c>
    </row>
    <row r="135" spans="1:13" x14ac:dyDescent="0.25">
      <c r="A135">
        <v>1134</v>
      </c>
      <c r="B135">
        <v>27</v>
      </c>
      <c r="C135" t="s">
        <v>32</v>
      </c>
      <c r="D135" t="s">
        <v>22</v>
      </c>
      <c r="E135" t="s">
        <v>20</v>
      </c>
      <c r="F135" t="s">
        <v>24</v>
      </c>
      <c r="G135">
        <v>90672</v>
      </c>
      <c r="H135">
        <v>7</v>
      </c>
      <c r="I135">
        <v>22</v>
      </c>
      <c r="J135">
        <v>2</v>
      </c>
      <c r="K135">
        <v>7</v>
      </c>
      <c r="L135" s="1">
        <v>45195</v>
      </c>
      <c r="M135" s="1" t="s">
        <v>9</v>
      </c>
    </row>
    <row r="136" spans="1:13" x14ac:dyDescent="0.25">
      <c r="A136">
        <v>1135</v>
      </c>
      <c r="B136">
        <v>55</v>
      </c>
      <c r="C136" t="s">
        <v>33</v>
      </c>
      <c r="D136" t="s">
        <v>19</v>
      </c>
      <c r="E136" t="s">
        <v>25</v>
      </c>
      <c r="F136" t="s">
        <v>29</v>
      </c>
      <c r="G136">
        <v>104320</v>
      </c>
      <c r="H136">
        <v>13</v>
      </c>
      <c r="I136">
        <v>30</v>
      </c>
      <c r="J136">
        <v>2</v>
      </c>
      <c r="K136">
        <v>7</v>
      </c>
      <c r="L136" s="1">
        <v>42784</v>
      </c>
      <c r="M136" s="1" t="s">
        <v>9</v>
      </c>
    </row>
    <row r="137" spans="1:13" x14ac:dyDescent="0.25">
      <c r="A137">
        <v>1136</v>
      </c>
      <c r="B137">
        <v>39</v>
      </c>
      <c r="C137" t="s">
        <v>37</v>
      </c>
      <c r="D137" t="s">
        <v>36</v>
      </c>
      <c r="E137" t="s">
        <v>41</v>
      </c>
      <c r="F137" t="s">
        <v>44</v>
      </c>
      <c r="G137">
        <v>89035</v>
      </c>
      <c r="H137">
        <v>7</v>
      </c>
      <c r="I137">
        <v>25</v>
      </c>
      <c r="J137">
        <v>5</v>
      </c>
      <c r="K137">
        <v>3</v>
      </c>
      <c r="L137" s="1">
        <v>43849</v>
      </c>
      <c r="M137" s="1" t="s">
        <v>9</v>
      </c>
    </row>
    <row r="138" spans="1:13" x14ac:dyDescent="0.25">
      <c r="A138">
        <v>1137</v>
      </c>
      <c r="B138">
        <v>24</v>
      </c>
      <c r="C138" t="s">
        <v>31</v>
      </c>
      <c r="D138" t="s">
        <v>35</v>
      </c>
      <c r="E138" t="s">
        <v>39</v>
      </c>
      <c r="F138" t="s">
        <v>15</v>
      </c>
      <c r="G138">
        <v>64823</v>
      </c>
      <c r="H138">
        <v>15</v>
      </c>
      <c r="I138">
        <v>14</v>
      </c>
      <c r="J138">
        <v>5</v>
      </c>
      <c r="K138">
        <v>8</v>
      </c>
      <c r="L138" s="1">
        <v>42274</v>
      </c>
      <c r="M138" s="1" t="s">
        <v>9</v>
      </c>
    </row>
    <row r="139" spans="1:13" x14ac:dyDescent="0.25">
      <c r="A139">
        <v>1138</v>
      </c>
      <c r="B139">
        <v>34</v>
      </c>
      <c r="C139" t="s">
        <v>32</v>
      </c>
      <c r="D139" t="s">
        <v>13</v>
      </c>
      <c r="E139" t="s">
        <v>20</v>
      </c>
      <c r="F139" t="s">
        <v>29</v>
      </c>
      <c r="G139">
        <v>108984</v>
      </c>
      <c r="H139">
        <v>4</v>
      </c>
      <c r="I139">
        <v>49</v>
      </c>
      <c r="J139">
        <v>1</v>
      </c>
      <c r="K139">
        <v>3</v>
      </c>
      <c r="L139" s="1">
        <v>44941</v>
      </c>
      <c r="M139" s="1" t="s">
        <v>9</v>
      </c>
    </row>
    <row r="140" spans="1:13" x14ac:dyDescent="0.25">
      <c r="A140">
        <v>1139</v>
      </c>
      <c r="B140">
        <v>57</v>
      </c>
      <c r="C140" t="s">
        <v>43</v>
      </c>
      <c r="D140" t="s">
        <v>13</v>
      </c>
      <c r="E140" t="s">
        <v>25</v>
      </c>
      <c r="F140" t="s">
        <v>26</v>
      </c>
      <c r="G140">
        <v>93122</v>
      </c>
      <c r="H140">
        <v>1</v>
      </c>
      <c r="I140">
        <v>53</v>
      </c>
      <c r="J140">
        <v>3</v>
      </c>
      <c r="K140">
        <v>5</v>
      </c>
      <c r="L140" s="1">
        <v>42941</v>
      </c>
      <c r="M140" s="1" t="s">
        <v>9</v>
      </c>
    </row>
    <row r="141" spans="1:13" x14ac:dyDescent="0.25">
      <c r="A141">
        <v>1140</v>
      </c>
      <c r="B141">
        <v>54</v>
      </c>
      <c r="C141" t="s">
        <v>32</v>
      </c>
      <c r="D141" t="s">
        <v>27</v>
      </c>
      <c r="E141" t="s">
        <v>34</v>
      </c>
      <c r="F141" t="s">
        <v>26</v>
      </c>
      <c r="G141">
        <v>89859</v>
      </c>
      <c r="H141">
        <v>22</v>
      </c>
      <c r="I141">
        <v>37</v>
      </c>
      <c r="J141" t="s">
        <v>9</v>
      </c>
      <c r="K141">
        <v>5</v>
      </c>
      <c r="L141" s="1">
        <v>44453</v>
      </c>
      <c r="M141" s="1">
        <v>44314</v>
      </c>
    </row>
    <row r="142" spans="1:13" x14ac:dyDescent="0.25">
      <c r="A142">
        <v>1141</v>
      </c>
      <c r="B142">
        <v>31</v>
      </c>
      <c r="C142" t="s">
        <v>33</v>
      </c>
      <c r="D142" t="s">
        <v>16</v>
      </c>
      <c r="E142" t="s">
        <v>20</v>
      </c>
      <c r="F142" t="s">
        <v>18</v>
      </c>
      <c r="G142">
        <v>66928</v>
      </c>
      <c r="H142">
        <v>18</v>
      </c>
      <c r="I142">
        <v>5</v>
      </c>
      <c r="J142">
        <v>5</v>
      </c>
      <c r="K142">
        <v>6</v>
      </c>
      <c r="L142" s="1">
        <v>45361</v>
      </c>
      <c r="M142" s="1">
        <v>44349</v>
      </c>
    </row>
    <row r="143" spans="1:13" x14ac:dyDescent="0.25">
      <c r="A143">
        <v>1142</v>
      </c>
      <c r="B143">
        <v>26</v>
      </c>
      <c r="C143" t="s">
        <v>31</v>
      </c>
      <c r="D143" t="s">
        <v>19</v>
      </c>
      <c r="E143" t="s">
        <v>20</v>
      </c>
      <c r="F143" t="s">
        <v>18</v>
      </c>
      <c r="G143">
        <v>49076</v>
      </c>
      <c r="H143">
        <v>25</v>
      </c>
      <c r="I143">
        <v>9</v>
      </c>
      <c r="J143">
        <v>3</v>
      </c>
      <c r="K143">
        <v>1</v>
      </c>
      <c r="L143" s="1">
        <v>43408</v>
      </c>
      <c r="M143" s="1" t="s">
        <v>9</v>
      </c>
    </row>
    <row r="144" spans="1:13" x14ac:dyDescent="0.25">
      <c r="A144">
        <v>1143</v>
      </c>
      <c r="B144">
        <v>47</v>
      </c>
      <c r="C144" t="s">
        <v>31</v>
      </c>
      <c r="D144" t="s">
        <v>27</v>
      </c>
      <c r="E144" t="s">
        <v>12</v>
      </c>
      <c r="F144" t="s">
        <v>26</v>
      </c>
      <c r="G144">
        <v>55842</v>
      </c>
      <c r="H144">
        <v>24</v>
      </c>
      <c r="I144">
        <v>27</v>
      </c>
      <c r="J144">
        <v>4</v>
      </c>
      <c r="K144">
        <v>3</v>
      </c>
      <c r="L144" s="1">
        <v>45402</v>
      </c>
      <c r="M144" s="1" t="s">
        <v>9</v>
      </c>
    </row>
    <row r="145" spans="1:13" x14ac:dyDescent="0.25">
      <c r="A145">
        <v>1144</v>
      </c>
      <c r="B145">
        <v>56</v>
      </c>
      <c r="C145" t="s">
        <v>31</v>
      </c>
      <c r="D145" t="s">
        <v>35</v>
      </c>
      <c r="E145" t="s">
        <v>20</v>
      </c>
      <c r="F145" t="s">
        <v>17</v>
      </c>
      <c r="G145">
        <v>84090</v>
      </c>
      <c r="H145">
        <v>14</v>
      </c>
      <c r="I145">
        <v>1</v>
      </c>
      <c r="J145">
        <v>3</v>
      </c>
      <c r="K145">
        <v>6</v>
      </c>
      <c r="L145" s="1">
        <v>44144</v>
      </c>
      <c r="M145" s="1" t="s">
        <v>9</v>
      </c>
    </row>
    <row r="146" spans="1:13" x14ac:dyDescent="0.25">
      <c r="A146">
        <v>1145</v>
      </c>
      <c r="B146">
        <v>23</v>
      </c>
      <c r="C146" t="s">
        <v>31</v>
      </c>
      <c r="D146" t="s">
        <v>13</v>
      </c>
      <c r="E146" t="s">
        <v>25</v>
      </c>
      <c r="F146" t="s">
        <v>29</v>
      </c>
      <c r="G146">
        <v>88156</v>
      </c>
      <c r="H146">
        <v>29</v>
      </c>
      <c r="I146">
        <v>45</v>
      </c>
      <c r="J146" t="s">
        <v>9</v>
      </c>
      <c r="K146">
        <v>10</v>
      </c>
      <c r="L146" s="1">
        <v>42018</v>
      </c>
      <c r="M146" s="1">
        <v>44115</v>
      </c>
    </row>
    <row r="147" spans="1:13" x14ac:dyDescent="0.25">
      <c r="A147">
        <v>1146</v>
      </c>
      <c r="B147">
        <v>26</v>
      </c>
      <c r="C147" t="s">
        <v>37</v>
      </c>
      <c r="D147" t="s">
        <v>19</v>
      </c>
      <c r="E147" t="s">
        <v>12</v>
      </c>
      <c r="F147" t="s">
        <v>18</v>
      </c>
      <c r="G147">
        <v>76414</v>
      </c>
      <c r="H147">
        <v>22</v>
      </c>
      <c r="I147">
        <v>4</v>
      </c>
      <c r="J147">
        <v>4</v>
      </c>
      <c r="K147">
        <v>8</v>
      </c>
      <c r="L147" s="1">
        <v>42921</v>
      </c>
      <c r="M147" s="1" t="s">
        <v>9</v>
      </c>
    </row>
    <row r="148" spans="1:13" x14ac:dyDescent="0.25">
      <c r="A148">
        <v>1147</v>
      </c>
      <c r="B148">
        <v>27</v>
      </c>
      <c r="C148" t="s">
        <v>32</v>
      </c>
      <c r="D148" t="s">
        <v>22</v>
      </c>
      <c r="E148" t="s">
        <v>20</v>
      </c>
      <c r="F148" t="s">
        <v>26</v>
      </c>
      <c r="G148">
        <v>95941</v>
      </c>
      <c r="H148">
        <v>0</v>
      </c>
      <c r="I148">
        <v>33</v>
      </c>
      <c r="J148">
        <v>4</v>
      </c>
      <c r="K148">
        <v>7</v>
      </c>
      <c r="L148" s="1">
        <v>43723</v>
      </c>
      <c r="M148" s="1">
        <v>43350</v>
      </c>
    </row>
    <row r="149" spans="1:13" x14ac:dyDescent="0.25">
      <c r="A149">
        <v>1148</v>
      </c>
      <c r="B149">
        <v>31</v>
      </c>
      <c r="C149" t="s">
        <v>31</v>
      </c>
      <c r="D149" t="s">
        <v>27</v>
      </c>
      <c r="E149" t="s">
        <v>28</v>
      </c>
      <c r="F149" t="s">
        <v>29</v>
      </c>
      <c r="G149">
        <v>91870</v>
      </c>
      <c r="H149">
        <v>8</v>
      </c>
      <c r="I149">
        <v>2</v>
      </c>
      <c r="J149">
        <v>3</v>
      </c>
      <c r="K149">
        <v>5</v>
      </c>
      <c r="L149" s="1">
        <v>43826</v>
      </c>
      <c r="M149" s="1" t="s">
        <v>9</v>
      </c>
    </row>
    <row r="150" spans="1:13" x14ac:dyDescent="0.25">
      <c r="A150">
        <v>1149</v>
      </c>
      <c r="B150">
        <v>60</v>
      </c>
      <c r="C150" t="s">
        <v>32</v>
      </c>
      <c r="D150" t="s">
        <v>16</v>
      </c>
      <c r="E150" t="s">
        <v>14</v>
      </c>
      <c r="F150" t="s">
        <v>26</v>
      </c>
      <c r="G150">
        <v>97372</v>
      </c>
      <c r="H150">
        <v>16</v>
      </c>
      <c r="I150">
        <v>17</v>
      </c>
      <c r="J150">
        <v>5</v>
      </c>
      <c r="K150">
        <v>6</v>
      </c>
      <c r="L150" s="1">
        <v>42278</v>
      </c>
      <c r="M150" s="1" t="s">
        <v>9</v>
      </c>
    </row>
    <row r="151" spans="1:13" x14ac:dyDescent="0.25">
      <c r="A151">
        <v>1150</v>
      </c>
      <c r="B151">
        <v>30</v>
      </c>
      <c r="C151" t="s">
        <v>31</v>
      </c>
      <c r="D151" t="s">
        <v>35</v>
      </c>
      <c r="E151" t="s">
        <v>25</v>
      </c>
      <c r="F151" t="s">
        <v>18</v>
      </c>
      <c r="G151">
        <v>102068</v>
      </c>
      <c r="H151">
        <v>7</v>
      </c>
      <c r="I151">
        <v>14</v>
      </c>
      <c r="J151">
        <v>2</v>
      </c>
      <c r="K151">
        <v>9</v>
      </c>
      <c r="L151" s="1">
        <v>43839</v>
      </c>
      <c r="M151" s="1" t="s">
        <v>9</v>
      </c>
    </row>
    <row r="152" spans="1:13" x14ac:dyDescent="0.25">
      <c r="A152">
        <v>1151</v>
      </c>
      <c r="B152">
        <v>34</v>
      </c>
      <c r="C152" t="s">
        <v>31</v>
      </c>
      <c r="D152" t="s">
        <v>22</v>
      </c>
      <c r="E152" t="s">
        <v>20</v>
      </c>
      <c r="F152" t="s">
        <v>42</v>
      </c>
      <c r="G152">
        <v>54458</v>
      </c>
      <c r="H152">
        <v>9</v>
      </c>
      <c r="I152">
        <v>33</v>
      </c>
      <c r="J152">
        <v>1</v>
      </c>
      <c r="K152">
        <v>1</v>
      </c>
      <c r="L152" s="1">
        <v>42817</v>
      </c>
      <c r="M152" s="1" t="s">
        <v>9</v>
      </c>
    </row>
    <row r="153" spans="1:13" x14ac:dyDescent="0.25">
      <c r="A153">
        <v>1152</v>
      </c>
      <c r="B153">
        <v>27</v>
      </c>
      <c r="C153" t="s">
        <v>31</v>
      </c>
      <c r="D153" t="s">
        <v>19</v>
      </c>
      <c r="E153" t="s">
        <v>14</v>
      </c>
      <c r="F153" t="s">
        <v>29</v>
      </c>
      <c r="G153">
        <v>91439</v>
      </c>
      <c r="H153">
        <v>26</v>
      </c>
      <c r="I153">
        <v>51</v>
      </c>
      <c r="J153">
        <v>3</v>
      </c>
      <c r="K153">
        <v>4</v>
      </c>
      <c r="L153" s="1">
        <v>43649</v>
      </c>
      <c r="M153" s="1" t="s">
        <v>9</v>
      </c>
    </row>
    <row r="154" spans="1:13" x14ac:dyDescent="0.25">
      <c r="A154">
        <v>1153</v>
      </c>
      <c r="B154">
        <v>35</v>
      </c>
      <c r="C154" t="s">
        <v>32</v>
      </c>
      <c r="D154" t="s">
        <v>16</v>
      </c>
      <c r="E154" t="s">
        <v>41</v>
      </c>
      <c r="F154" t="s">
        <v>26</v>
      </c>
      <c r="G154">
        <v>50137</v>
      </c>
      <c r="H154">
        <v>30</v>
      </c>
      <c r="I154">
        <v>59</v>
      </c>
      <c r="J154">
        <v>5</v>
      </c>
      <c r="K154">
        <v>4</v>
      </c>
      <c r="L154" s="1">
        <v>44769</v>
      </c>
      <c r="M154" s="1" t="s">
        <v>9</v>
      </c>
    </row>
    <row r="155" spans="1:13" x14ac:dyDescent="0.25">
      <c r="A155">
        <v>1154</v>
      </c>
      <c r="B155">
        <v>40</v>
      </c>
      <c r="C155" t="s">
        <v>32</v>
      </c>
      <c r="D155" t="s">
        <v>38</v>
      </c>
      <c r="E155" t="s">
        <v>25</v>
      </c>
      <c r="F155" t="s">
        <v>29</v>
      </c>
      <c r="G155">
        <v>85095</v>
      </c>
      <c r="H155">
        <v>26</v>
      </c>
      <c r="I155">
        <v>11</v>
      </c>
      <c r="J155">
        <v>5</v>
      </c>
      <c r="K155">
        <v>1</v>
      </c>
      <c r="L155" s="1">
        <v>42347</v>
      </c>
      <c r="M155" s="1">
        <v>43622</v>
      </c>
    </row>
    <row r="156" spans="1:13" x14ac:dyDescent="0.25">
      <c r="A156">
        <v>1155</v>
      </c>
      <c r="B156">
        <v>57</v>
      </c>
      <c r="C156" t="s">
        <v>32</v>
      </c>
      <c r="D156" t="s">
        <v>23</v>
      </c>
      <c r="E156" t="s">
        <v>12</v>
      </c>
      <c r="F156" t="s">
        <v>17</v>
      </c>
      <c r="G156">
        <v>75947</v>
      </c>
      <c r="H156">
        <v>5</v>
      </c>
      <c r="I156">
        <v>11</v>
      </c>
      <c r="J156">
        <v>5</v>
      </c>
      <c r="K156">
        <v>10</v>
      </c>
      <c r="L156" s="1">
        <v>42541</v>
      </c>
      <c r="M156" s="1" t="s">
        <v>9</v>
      </c>
    </row>
    <row r="157" spans="1:13" x14ac:dyDescent="0.25">
      <c r="A157">
        <v>1156</v>
      </c>
      <c r="B157">
        <v>56</v>
      </c>
      <c r="C157" t="s">
        <v>33</v>
      </c>
      <c r="D157" t="s">
        <v>13</v>
      </c>
      <c r="E157" t="s">
        <v>28</v>
      </c>
      <c r="F157" t="s">
        <v>29</v>
      </c>
      <c r="G157">
        <v>99259</v>
      </c>
      <c r="H157">
        <v>3</v>
      </c>
      <c r="I157">
        <v>51</v>
      </c>
      <c r="J157" t="s">
        <v>9</v>
      </c>
      <c r="K157">
        <v>8</v>
      </c>
      <c r="L157" s="1">
        <v>44274</v>
      </c>
      <c r="M157" s="1" t="s">
        <v>9</v>
      </c>
    </row>
    <row r="158" spans="1:13" x14ac:dyDescent="0.25">
      <c r="A158">
        <v>1157</v>
      </c>
      <c r="B158">
        <v>25</v>
      </c>
      <c r="C158" t="s">
        <v>31</v>
      </c>
      <c r="D158" t="s">
        <v>23</v>
      </c>
      <c r="E158" t="s">
        <v>14</v>
      </c>
      <c r="F158" t="s">
        <v>15</v>
      </c>
      <c r="G158">
        <v>50494</v>
      </c>
      <c r="H158">
        <v>6</v>
      </c>
      <c r="I158">
        <v>58</v>
      </c>
      <c r="J158">
        <v>3</v>
      </c>
      <c r="K158">
        <v>5</v>
      </c>
      <c r="L158" s="1">
        <v>43270</v>
      </c>
      <c r="M158" s="1" t="s">
        <v>9</v>
      </c>
    </row>
    <row r="159" spans="1:13" x14ac:dyDescent="0.25">
      <c r="A159">
        <v>1158</v>
      </c>
      <c r="B159">
        <v>54</v>
      </c>
      <c r="C159" t="s">
        <v>32</v>
      </c>
      <c r="D159" t="s">
        <v>22</v>
      </c>
      <c r="E159" t="s">
        <v>12</v>
      </c>
      <c r="F159" t="s">
        <v>26</v>
      </c>
      <c r="G159">
        <v>77060</v>
      </c>
      <c r="H159">
        <v>21</v>
      </c>
      <c r="I159">
        <v>60</v>
      </c>
      <c r="J159">
        <v>1</v>
      </c>
      <c r="K159">
        <v>9</v>
      </c>
      <c r="L159" s="1">
        <v>45194</v>
      </c>
      <c r="M159" s="1">
        <v>45636</v>
      </c>
    </row>
    <row r="160" spans="1:13" x14ac:dyDescent="0.25">
      <c r="A160">
        <v>1159</v>
      </c>
      <c r="B160">
        <v>54</v>
      </c>
      <c r="C160" t="s">
        <v>31</v>
      </c>
      <c r="D160" t="s">
        <v>16</v>
      </c>
      <c r="E160" t="s">
        <v>12</v>
      </c>
      <c r="F160" t="s">
        <v>18</v>
      </c>
      <c r="G160">
        <v>56135</v>
      </c>
      <c r="H160">
        <v>25</v>
      </c>
      <c r="I160">
        <v>52</v>
      </c>
      <c r="J160">
        <v>2</v>
      </c>
      <c r="K160">
        <v>4</v>
      </c>
      <c r="L160" s="1">
        <v>45112</v>
      </c>
      <c r="M160" s="1" t="s">
        <v>9</v>
      </c>
    </row>
    <row r="161" spans="1:13" x14ac:dyDescent="0.25">
      <c r="A161">
        <v>1160</v>
      </c>
      <c r="B161">
        <v>57</v>
      </c>
      <c r="C161" t="s">
        <v>32</v>
      </c>
      <c r="D161" t="s">
        <v>16</v>
      </c>
      <c r="E161" t="s">
        <v>12</v>
      </c>
      <c r="F161" t="s">
        <v>17</v>
      </c>
      <c r="G161">
        <v>72316</v>
      </c>
      <c r="H161">
        <v>9</v>
      </c>
      <c r="I161">
        <v>32</v>
      </c>
      <c r="J161">
        <v>2</v>
      </c>
      <c r="K161">
        <v>5</v>
      </c>
      <c r="L161" s="1">
        <v>44671</v>
      </c>
      <c r="M161" s="1" t="s">
        <v>9</v>
      </c>
    </row>
    <row r="162" spans="1:13" x14ac:dyDescent="0.25">
      <c r="A162">
        <v>1161</v>
      </c>
      <c r="B162">
        <v>26</v>
      </c>
      <c r="C162" t="s">
        <v>37</v>
      </c>
      <c r="D162" t="s">
        <v>16</v>
      </c>
      <c r="E162" t="s">
        <v>20</v>
      </c>
      <c r="F162" t="s">
        <v>26</v>
      </c>
      <c r="G162">
        <v>107327</v>
      </c>
      <c r="H162">
        <v>9</v>
      </c>
      <c r="I162">
        <v>8</v>
      </c>
      <c r="J162" t="s">
        <v>9</v>
      </c>
      <c r="K162">
        <v>3</v>
      </c>
      <c r="L162" s="1">
        <v>44715</v>
      </c>
      <c r="M162" s="1">
        <v>43141</v>
      </c>
    </row>
    <row r="163" spans="1:13" x14ac:dyDescent="0.25">
      <c r="A163">
        <v>1162</v>
      </c>
      <c r="B163">
        <v>25</v>
      </c>
      <c r="C163" t="s">
        <v>32</v>
      </c>
      <c r="D163" t="s">
        <v>38</v>
      </c>
      <c r="E163" t="s">
        <v>20</v>
      </c>
      <c r="F163" t="s">
        <v>24</v>
      </c>
      <c r="G163">
        <v>79213</v>
      </c>
      <c r="H163">
        <v>18</v>
      </c>
      <c r="I163">
        <v>45</v>
      </c>
      <c r="J163" t="s">
        <v>9</v>
      </c>
      <c r="K163">
        <v>5</v>
      </c>
      <c r="L163" s="1">
        <v>45603</v>
      </c>
      <c r="M163" s="1" t="s">
        <v>9</v>
      </c>
    </row>
    <row r="164" spans="1:13" x14ac:dyDescent="0.25">
      <c r="A164">
        <v>1163</v>
      </c>
      <c r="B164">
        <v>25</v>
      </c>
      <c r="C164" t="s">
        <v>32</v>
      </c>
      <c r="D164" t="s">
        <v>27</v>
      </c>
      <c r="E164" t="s">
        <v>25</v>
      </c>
      <c r="F164" t="s">
        <v>26</v>
      </c>
      <c r="G164">
        <v>72281</v>
      </c>
      <c r="H164">
        <v>11</v>
      </c>
      <c r="I164">
        <v>36</v>
      </c>
      <c r="J164">
        <v>3</v>
      </c>
      <c r="K164">
        <v>10</v>
      </c>
      <c r="L164" s="1">
        <v>45104</v>
      </c>
      <c r="M164" s="1">
        <v>44400</v>
      </c>
    </row>
    <row r="165" spans="1:13" x14ac:dyDescent="0.25">
      <c r="A165">
        <v>1164</v>
      </c>
      <c r="B165">
        <v>57</v>
      </c>
      <c r="C165" t="s">
        <v>31</v>
      </c>
      <c r="D165" t="s">
        <v>23</v>
      </c>
      <c r="E165" t="s">
        <v>28</v>
      </c>
      <c r="F165" t="s">
        <v>15</v>
      </c>
      <c r="G165">
        <v>69098</v>
      </c>
      <c r="H165">
        <v>9</v>
      </c>
      <c r="I165">
        <v>53</v>
      </c>
      <c r="J165" t="s">
        <v>9</v>
      </c>
      <c r="K165">
        <v>2</v>
      </c>
      <c r="L165" s="1">
        <v>45649</v>
      </c>
      <c r="M165" s="1" t="s">
        <v>9</v>
      </c>
    </row>
    <row r="166" spans="1:13" x14ac:dyDescent="0.25">
      <c r="A166">
        <v>1165</v>
      </c>
      <c r="B166">
        <v>36</v>
      </c>
      <c r="C166" t="s">
        <v>33</v>
      </c>
      <c r="D166" t="s">
        <v>36</v>
      </c>
      <c r="E166" t="s">
        <v>28</v>
      </c>
      <c r="F166" t="s">
        <v>24</v>
      </c>
      <c r="G166">
        <v>93372</v>
      </c>
      <c r="H166">
        <v>5</v>
      </c>
      <c r="I166">
        <v>10</v>
      </c>
      <c r="J166">
        <v>1</v>
      </c>
      <c r="K166">
        <v>7</v>
      </c>
      <c r="L166" s="1">
        <v>42998</v>
      </c>
      <c r="M166" s="1" t="s">
        <v>9</v>
      </c>
    </row>
    <row r="167" spans="1:13" x14ac:dyDescent="0.25">
      <c r="A167">
        <v>1166</v>
      </c>
      <c r="B167">
        <v>21</v>
      </c>
      <c r="C167" t="s">
        <v>31</v>
      </c>
      <c r="D167" t="s">
        <v>22</v>
      </c>
      <c r="E167" t="s">
        <v>12</v>
      </c>
      <c r="F167" t="s">
        <v>18</v>
      </c>
      <c r="G167">
        <v>54987</v>
      </c>
      <c r="H167">
        <v>27</v>
      </c>
      <c r="I167">
        <v>30</v>
      </c>
      <c r="J167">
        <v>3</v>
      </c>
      <c r="K167">
        <v>7</v>
      </c>
      <c r="L167" s="1">
        <v>43095</v>
      </c>
      <c r="M167" s="1">
        <v>44984</v>
      </c>
    </row>
    <row r="168" spans="1:13" x14ac:dyDescent="0.25">
      <c r="A168">
        <v>1167</v>
      </c>
      <c r="B168">
        <v>46</v>
      </c>
      <c r="C168" t="s">
        <v>33</v>
      </c>
      <c r="D168" t="s">
        <v>36</v>
      </c>
      <c r="E168" t="s">
        <v>14</v>
      </c>
      <c r="F168" t="s">
        <v>24</v>
      </c>
      <c r="G168">
        <v>99245</v>
      </c>
      <c r="H168">
        <v>29</v>
      </c>
      <c r="I168">
        <v>49</v>
      </c>
      <c r="J168">
        <v>1</v>
      </c>
      <c r="K168">
        <v>6</v>
      </c>
      <c r="L168" s="1">
        <v>45212</v>
      </c>
      <c r="M168" s="1" t="s">
        <v>9</v>
      </c>
    </row>
    <row r="169" spans="1:13" x14ac:dyDescent="0.25">
      <c r="A169">
        <v>1168</v>
      </c>
      <c r="B169">
        <v>48</v>
      </c>
      <c r="C169" t="s">
        <v>31</v>
      </c>
      <c r="D169" t="s">
        <v>22</v>
      </c>
      <c r="E169" t="s">
        <v>12</v>
      </c>
      <c r="F169" t="s">
        <v>21</v>
      </c>
      <c r="G169">
        <v>101626</v>
      </c>
      <c r="H169">
        <v>21</v>
      </c>
      <c r="I169">
        <v>58</v>
      </c>
      <c r="J169">
        <v>3</v>
      </c>
      <c r="K169">
        <v>8</v>
      </c>
      <c r="L169" s="1">
        <v>44528</v>
      </c>
      <c r="M169" s="1" t="s">
        <v>9</v>
      </c>
    </row>
    <row r="170" spans="1:13" x14ac:dyDescent="0.25">
      <c r="A170">
        <v>1169</v>
      </c>
      <c r="B170">
        <v>45</v>
      </c>
      <c r="C170" t="s">
        <v>32</v>
      </c>
      <c r="D170" t="s">
        <v>27</v>
      </c>
      <c r="E170" t="s">
        <v>34</v>
      </c>
      <c r="F170" t="s">
        <v>40</v>
      </c>
      <c r="G170">
        <v>71520</v>
      </c>
      <c r="H170">
        <v>7</v>
      </c>
      <c r="I170">
        <v>48</v>
      </c>
      <c r="J170">
        <v>4</v>
      </c>
      <c r="K170">
        <v>4</v>
      </c>
      <c r="L170" s="1">
        <v>43680</v>
      </c>
      <c r="M170" s="1" t="s">
        <v>9</v>
      </c>
    </row>
    <row r="171" spans="1:13" x14ac:dyDescent="0.25">
      <c r="A171">
        <v>1170</v>
      </c>
      <c r="B171">
        <v>21</v>
      </c>
      <c r="C171" t="s">
        <v>32</v>
      </c>
      <c r="D171" t="s">
        <v>35</v>
      </c>
      <c r="E171" t="s">
        <v>20</v>
      </c>
      <c r="F171" t="s">
        <v>21</v>
      </c>
      <c r="G171">
        <v>56710</v>
      </c>
      <c r="H171">
        <v>3</v>
      </c>
      <c r="I171">
        <v>49</v>
      </c>
      <c r="J171">
        <v>2</v>
      </c>
      <c r="K171">
        <v>3</v>
      </c>
      <c r="L171" s="1">
        <v>43968</v>
      </c>
      <c r="M171" s="1" t="s">
        <v>9</v>
      </c>
    </row>
    <row r="172" spans="1:13" x14ac:dyDescent="0.25">
      <c r="A172">
        <v>1171</v>
      </c>
      <c r="B172">
        <v>27</v>
      </c>
      <c r="C172" t="s">
        <v>37</v>
      </c>
      <c r="D172" t="s">
        <v>38</v>
      </c>
      <c r="E172" t="s">
        <v>12</v>
      </c>
      <c r="F172" t="s">
        <v>42</v>
      </c>
      <c r="G172">
        <v>103207</v>
      </c>
      <c r="H172">
        <v>20</v>
      </c>
      <c r="I172">
        <v>3</v>
      </c>
      <c r="J172">
        <v>1</v>
      </c>
      <c r="K172">
        <v>3</v>
      </c>
      <c r="L172" s="1">
        <v>43514</v>
      </c>
      <c r="M172" s="1">
        <v>44335</v>
      </c>
    </row>
    <row r="173" spans="1:13" x14ac:dyDescent="0.25">
      <c r="A173">
        <v>1172</v>
      </c>
      <c r="B173">
        <v>60</v>
      </c>
      <c r="C173" t="s">
        <v>31</v>
      </c>
      <c r="D173" t="s">
        <v>27</v>
      </c>
      <c r="E173" t="s">
        <v>14</v>
      </c>
      <c r="F173" t="s">
        <v>18</v>
      </c>
      <c r="G173">
        <v>82136</v>
      </c>
      <c r="H173">
        <v>13</v>
      </c>
      <c r="I173">
        <v>29</v>
      </c>
      <c r="J173">
        <v>3</v>
      </c>
      <c r="K173">
        <v>8</v>
      </c>
      <c r="L173" s="1">
        <v>44394</v>
      </c>
      <c r="M173" s="1">
        <v>44070</v>
      </c>
    </row>
    <row r="174" spans="1:13" x14ac:dyDescent="0.25">
      <c r="A174">
        <v>1173</v>
      </c>
      <c r="B174">
        <v>39</v>
      </c>
      <c r="C174" t="s">
        <v>37</v>
      </c>
      <c r="D174" t="s">
        <v>19</v>
      </c>
      <c r="E174" t="s">
        <v>14</v>
      </c>
      <c r="F174" t="s">
        <v>26</v>
      </c>
      <c r="G174">
        <v>55995</v>
      </c>
      <c r="H174">
        <v>23</v>
      </c>
      <c r="I174">
        <v>26</v>
      </c>
      <c r="J174">
        <v>1</v>
      </c>
      <c r="K174">
        <v>6</v>
      </c>
      <c r="L174" s="1">
        <v>43783</v>
      </c>
      <c r="M174" s="1">
        <v>42775</v>
      </c>
    </row>
    <row r="175" spans="1:13" x14ac:dyDescent="0.25">
      <c r="A175">
        <v>1174</v>
      </c>
      <c r="B175">
        <v>41</v>
      </c>
      <c r="C175" t="s">
        <v>31</v>
      </c>
      <c r="D175" t="s">
        <v>27</v>
      </c>
      <c r="E175" t="s">
        <v>25</v>
      </c>
      <c r="F175" t="s">
        <v>24</v>
      </c>
      <c r="G175">
        <v>83353</v>
      </c>
      <c r="H175">
        <v>3</v>
      </c>
      <c r="I175">
        <v>28</v>
      </c>
      <c r="J175">
        <v>3</v>
      </c>
      <c r="K175">
        <v>8</v>
      </c>
      <c r="L175" s="1">
        <v>43227</v>
      </c>
      <c r="M175" s="1" t="s">
        <v>9</v>
      </c>
    </row>
    <row r="176" spans="1:13" x14ac:dyDescent="0.25">
      <c r="A176">
        <v>1175</v>
      </c>
      <c r="B176">
        <v>58</v>
      </c>
      <c r="C176" t="s">
        <v>43</v>
      </c>
      <c r="D176" t="s">
        <v>13</v>
      </c>
      <c r="E176" t="s">
        <v>14</v>
      </c>
      <c r="F176" t="s">
        <v>18</v>
      </c>
      <c r="G176">
        <v>102682</v>
      </c>
      <c r="H176">
        <v>16</v>
      </c>
      <c r="I176">
        <v>4</v>
      </c>
      <c r="J176">
        <v>5</v>
      </c>
      <c r="K176">
        <v>1</v>
      </c>
      <c r="L176" s="1">
        <v>42327</v>
      </c>
      <c r="M176" s="1" t="s">
        <v>9</v>
      </c>
    </row>
    <row r="177" spans="1:13" x14ac:dyDescent="0.25">
      <c r="A177">
        <v>1176</v>
      </c>
      <c r="B177">
        <v>34</v>
      </c>
      <c r="C177" t="s">
        <v>32</v>
      </c>
      <c r="D177" t="s">
        <v>23</v>
      </c>
      <c r="E177" t="s">
        <v>14</v>
      </c>
      <c r="F177" t="s">
        <v>21</v>
      </c>
      <c r="G177">
        <v>87282</v>
      </c>
      <c r="H177">
        <v>15</v>
      </c>
      <c r="I177">
        <v>59</v>
      </c>
      <c r="J177">
        <v>5</v>
      </c>
      <c r="K177">
        <v>7</v>
      </c>
      <c r="L177" s="1">
        <v>45017</v>
      </c>
      <c r="M177" s="1" t="s">
        <v>9</v>
      </c>
    </row>
    <row r="178" spans="1:13" x14ac:dyDescent="0.25">
      <c r="A178">
        <v>1177</v>
      </c>
      <c r="B178">
        <v>57</v>
      </c>
      <c r="C178" t="s">
        <v>43</v>
      </c>
      <c r="D178" t="s">
        <v>16</v>
      </c>
      <c r="E178" t="s">
        <v>28</v>
      </c>
      <c r="F178" t="s">
        <v>18</v>
      </c>
      <c r="G178">
        <v>78505</v>
      </c>
      <c r="H178">
        <v>25</v>
      </c>
      <c r="I178">
        <v>2</v>
      </c>
      <c r="J178">
        <v>4</v>
      </c>
      <c r="K178">
        <v>10</v>
      </c>
      <c r="L178" s="1">
        <v>42546</v>
      </c>
      <c r="M178" s="1">
        <v>42751</v>
      </c>
    </row>
    <row r="179" spans="1:13" x14ac:dyDescent="0.25">
      <c r="A179">
        <v>1178</v>
      </c>
      <c r="B179">
        <v>30</v>
      </c>
      <c r="C179" t="s">
        <v>32</v>
      </c>
      <c r="D179" t="s">
        <v>38</v>
      </c>
      <c r="E179" t="s">
        <v>28</v>
      </c>
      <c r="F179" t="s">
        <v>29</v>
      </c>
      <c r="G179">
        <v>78866</v>
      </c>
      <c r="H179">
        <v>15</v>
      </c>
      <c r="I179">
        <v>39</v>
      </c>
      <c r="J179">
        <v>2</v>
      </c>
      <c r="K179">
        <v>6</v>
      </c>
      <c r="L179" s="1">
        <v>44449</v>
      </c>
      <c r="M179" s="1" t="s">
        <v>9</v>
      </c>
    </row>
    <row r="180" spans="1:13" x14ac:dyDescent="0.25">
      <c r="A180">
        <v>1179</v>
      </c>
      <c r="B180">
        <v>22</v>
      </c>
      <c r="C180" t="s">
        <v>32</v>
      </c>
      <c r="D180" t="s">
        <v>22</v>
      </c>
      <c r="E180" t="s">
        <v>39</v>
      </c>
      <c r="F180" t="s">
        <v>17</v>
      </c>
      <c r="G180">
        <v>54967</v>
      </c>
      <c r="H180">
        <v>30</v>
      </c>
      <c r="I180">
        <v>32</v>
      </c>
      <c r="J180" t="s">
        <v>9</v>
      </c>
      <c r="K180">
        <v>3</v>
      </c>
      <c r="L180" s="1">
        <v>43842</v>
      </c>
      <c r="M180" s="1">
        <v>44686</v>
      </c>
    </row>
    <row r="181" spans="1:13" x14ac:dyDescent="0.25">
      <c r="A181">
        <v>1180</v>
      </c>
      <c r="B181">
        <v>49</v>
      </c>
      <c r="C181" t="s">
        <v>31</v>
      </c>
      <c r="D181" t="s">
        <v>13</v>
      </c>
      <c r="E181" t="s">
        <v>20</v>
      </c>
      <c r="F181" t="s">
        <v>15</v>
      </c>
      <c r="G181">
        <v>79975</v>
      </c>
      <c r="H181">
        <v>10</v>
      </c>
      <c r="I181">
        <v>23</v>
      </c>
      <c r="J181" t="s">
        <v>9</v>
      </c>
      <c r="K181">
        <v>5</v>
      </c>
      <c r="L181" s="1">
        <v>44861</v>
      </c>
      <c r="M181" s="1">
        <v>44800</v>
      </c>
    </row>
    <row r="182" spans="1:13" x14ac:dyDescent="0.25">
      <c r="A182">
        <v>1181</v>
      </c>
      <c r="B182">
        <v>31</v>
      </c>
      <c r="C182" t="s">
        <v>31</v>
      </c>
      <c r="D182" t="s">
        <v>22</v>
      </c>
      <c r="E182" t="s">
        <v>14</v>
      </c>
      <c r="F182" t="s">
        <v>15</v>
      </c>
      <c r="G182">
        <v>50661</v>
      </c>
      <c r="H182">
        <v>9</v>
      </c>
      <c r="I182">
        <v>15</v>
      </c>
      <c r="J182">
        <v>1</v>
      </c>
      <c r="K182">
        <v>10</v>
      </c>
      <c r="L182" s="1">
        <v>42844</v>
      </c>
      <c r="M182" s="1" t="s">
        <v>9</v>
      </c>
    </row>
    <row r="183" spans="1:13" x14ac:dyDescent="0.25">
      <c r="A183">
        <v>1182</v>
      </c>
      <c r="B183">
        <v>50</v>
      </c>
      <c r="C183" t="s">
        <v>31</v>
      </c>
      <c r="D183" t="s">
        <v>19</v>
      </c>
      <c r="E183" t="s">
        <v>12</v>
      </c>
      <c r="F183" t="s">
        <v>17</v>
      </c>
      <c r="G183">
        <v>61382</v>
      </c>
      <c r="H183">
        <v>28</v>
      </c>
      <c r="I183">
        <v>60</v>
      </c>
      <c r="J183">
        <v>1</v>
      </c>
      <c r="K183">
        <v>8</v>
      </c>
      <c r="L183" s="1">
        <v>43455</v>
      </c>
      <c r="M183" s="1">
        <v>43595</v>
      </c>
    </row>
    <row r="184" spans="1:13" x14ac:dyDescent="0.25">
      <c r="A184">
        <v>1183</v>
      </c>
      <c r="B184">
        <v>58</v>
      </c>
      <c r="C184" t="s">
        <v>37</v>
      </c>
      <c r="D184" t="s">
        <v>35</v>
      </c>
      <c r="E184" t="s">
        <v>41</v>
      </c>
      <c r="F184" t="s">
        <v>29</v>
      </c>
      <c r="G184">
        <v>79097</v>
      </c>
      <c r="H184">
        <v>21</v>
      </c>
      <c r="I184">
        <v>7</v>
      </c>
      <c r="J184">
        <v>4</v>
      </c>
      <c r="K184">
        <v>3</v>
      </c>
      <c r="L184" s="1">
        <v>44760</v>
      </c>
      <c r="M184" s="1" t="s">
        <v>9</v>
      </c>
    </row>
    <row r="185" spans="1:13" x14ac:dyDescent="0.25">
      <c r="A185">
        <v>1184</v>
      </c>
      <c r="B185">
        <v>35</v>
      </c>
      <c r="C185" t="s">
        <v>33</v>
      </c>
      <c r="D185" t="s">
        <v>16</v>
      </c>
      <c r="E185" t="s">
        <v>25</v>
      </c>
      <c r="F185" t="s">
        <v>21</v>
      </c>
      <c r="G185">
        <v>91061</v>
      </c>
      <c r="H185">
        <v>15</v>
      </c>
      <c r="I185">
        <v>43</v>
      </c>
      <c r="J185">
        <v>5</v>
      </c>
      <c r="K185">
        <v>8</v>
      </c>
      <c r="L185" s="1">
        <v>44594</v>
      </c>
      <c r="M185" s="1" t="s">
        <v>9</v>
      </c>
    </row>
    <row r="186" spans="1:13" x14ac:dyDescent="0.25">
      <c r="A186">
        <v>1185</v>
      </c>
      <c r="B186">
        <v>38</v>
      </c>
      <c r="C186" t="s">
        <v>31</v>
      </c>
      <c r="D186" t="s">
        <v>27</v>
      </c>
      <c r="E186" t="s">
        <v>25</v>
      </c>
      <c r="F186" t="s">
        <v>21</v>
      </c>
      <c r="G186">
        <v>84207</v>
      </c>
      <c r="H186">
        <v>18</v>
      </c>
      <c r="I186">
        <v>27</v>
      </c>
      <c r="J186">
        <v>2</v>
      </c>
      <c r="K186">
        <v>9</v>
      </c>
      <c r="L186" s="1">
        <v>43550</v>
      </c>
      <c r="M186" s="1" t="s">
        <v>9</v>
      </c>
    </row>
    <row r="187" spans="1:13" x14ac:dyDescent="0.25">
      <c r="A187">
        <v>1186</v>
      </c>
      <c r="B187">
        <v>44</v>
      </c>
      <c r="C187" t="s">
        <v>31</v>
      </c>
      <c r="D187" t="s">
        <v>19</v>
      </c>
      <c r="E187" t="s">
        <v>12</v>
      </c>
      <c r="F187" t="s">
        <v>17</v>
      </c>
      <c r="G187">
        <v>95945</v>
      </c>
      <c r="H187">
        <v>22</v>
      </c>
      <c r="I187">
        <v>12</v>
      </c>
      <c r="J187">
        <v>2</v>
      </c>
      <c r="K187">
        <v>10</v>
      </c>
      <c r="L187" s="1">
        <v>43176</v>
      </c>
      <c r="M187" s="1" t="s">
        <v>9</v>
      </c>
    </row>
    <row r="188" spans="1:13" x14ac:dyDescent="0.25">
      <c r="A188">
        <v>1187</v>
      </c>
      <c r="B188">
        <v>27</v>
      </c>
      <c r="C188" t="s">
        <v>31</v>
      </c>
      <c r="D188" t="s">
        <v>27</v>
      </c>
      <c r="E188" t="s">
        <v>41</v>
      </c>
      <c r="F188" t="s">
        <v>18</v>
      </c>
      <c r="G188">
        <v>78749</v>
      </c>
      <c r="H188">
        <v>22</v>
      </c>
      <c r="I188">
        <v>46</v>
      </c>
      <c r="J188" t="s">
        <v>9</v>
      </c>
      <c r="K188">
        <v>9</v>
      </c>
      <c r="L188" s="1">
        <v>44023</v>
      </c>
      <c r="M188" s="1" t="s">
        <v>9</v>
      </c>
    </row>
    <row r="189" spans="1:13" x14ac:dyDescent="0.25">
      <c r="A189">
        <v>1188</v>
      </c>
      <c r="B189">
        <v>28</v>
      </c>
      <c r="C189" t="s">
        <v>43</v>
      </c>
      <c r="D189" t="s">
        <v>23</v>
      </c>
      <c r="E189" t="s">
        <v>20</v>
      </c>
      <c r="F189" t="s">
        <v>40</v>
      </c>
      <c r="G189">
        <v>88945</v>
      </c>
      <c r="H189">
        <v>29</v>
      </c>
      <c r="I189">
        <v>27</v>
      </c>
      <c r="J189">
        <v>5</v>
      </c>
      <c r="K189">
        <v>3</v>
      </c>
      <c r="L189" s="1">
        <v>44306</v>
      </c>
      <c r="M189" s="1">
        <v>43473</v>
      </c>
    </row>
    <row r="190" spans="1:13" x14ac:dyDescent="0.25">
      <c r="A190">
        <v>1189</v>
      </c>
      <c r="B190">
        <v>55</v>
      </c>
      <c r="C190" t="s">
        <v>33</v>
      </c>
      <c r="D190" t="s">
        <v>23</v>
      </c>
      <c r="E190" t="s">
        <v>25</v>
      </c>
      <c r="F190" t="s">
        <v>18</v>
      </c>
      <c r="G190">
        <v>89299</v>
      </c>
      <c r="H190">
        <v>27</v>
      </c>
      <c r="I190">
        <v>14</v>
      </c>
      <c r="J190">
        <v>5</v>
      </c>
      <c r="K190">
        <v>1</v>
      </c>
      <c r="L190" s="1">
        <v>43999</v>
      </c>
      <c r="M190" s="1">
        <v>45303</v>
      </c>
    </row>
    <row r="191" spans="1:13" x14ac:dyDescent="0.25">
      <c r="A191">
        <v>1190</v>
      </c>
      <c r="B191">
        <v>57</v>
      </c>
      <c r="C191" t="s">
        <v>32</v>
      </c>
      <c r="D191" t="s">
        <v>16</v>
      </c>
      <c r="E191" t="s">
        <v>12</v>
      </c>
      <c r="F191" t="s">
        <v>17</v>
      </c>
      <c r="G191">
        <v>74141</v>
      </c>
      <c r="H191">
        <v>7</v>
      </c>
      <c r="I191">
        <v>45</v>
      </c>
      <c r="J191">
        <v>4</v>
      </c>
      <c r="K191">
        <v>1</v>
      </c>
      <c r="L191" s="1">
        <v>45358</v>
      </c>
      <c r="M191" s="1" t="s">
        <v>9</v>
      </c>
    </row>
    <row r="192" spans="1:13" x14ac:dyDescent="0.25">
      <c r="A192">
        <v>1191</v>
      </c>
      <c r="B192">
        <v>41</v>
      </c>
      <c r="C192" t="s">
        <v>43</v>
      </c>
      <c r="D192" t="s">
        <v>22</v>
      </c>
      <c r="E192" t="s">
        <v>28</v>
      </c>
      <c r="F192" t="s">
        <v>24</v>
      </c>
      <c r="G192">
        <v>107196</v>
      </c>
      <c r="H192">
        <v>29</v>
      </c>
      <c r="I192">
        <v>22</v>
      </c>
      <c r="J192">
        <v>3</v>
      </c>
      <c r="K192">
        <v>9</v>
      </c>
      <c r="L192" s="1">
        <v>43849</v>
      </c>
      <c r="M192" s="1" t="s">
        <v>9</v>
      </c>
    </row>
    <row r="193" spans="1:13" x14ac:dyDescent="0.25">
      <c r="A193">
        <v>1192</v>
      </c>
      <c r="B193">
        <v>23</v>
      </c>
      <c r="C193" t="s">
        <v>32</v>
      </c>
      <c r="D193" t="s">
        <v>36</v>
      </c>
      <c r="E193" t="s">
        <v>28</v>
      </c>
      <c r="F193" t="s">
        <v>42</v>
      </c>
      <c r="G193">
        <v>93153</v>
      </c>
      <c r="H193">
        <v>10</v>
      </c>
      <c r="I193">
        <v>50</v>
      </c>
      <c r="J193">
        <v>4</v>
      </c>
      <c r="K193">
        <v>4</v>
      </c>
      <c r="L193" s="1">
        <v>44141</v>
      </c>
      <c r="M193" s="1" t="s">
        <v>9</v>
      </c>
    </row>
    <row r="194" spans="1:13" x14ac:dyDescent="0.25">
      <c r="A194">
        <v>1193</v>
      </c>
      <c r="B194">
        <v>44</v>
      </c>
      <c r="C194" t="s">
        <v>32</v>
      </c>
      <c r="D194" t="s">
        <v>13</v>
      </c>
      <c r="E194" t="s">
        <v>25</v>
      </c>
      <c r="F194" t="s">
        <v>18</v>
      </c>
      <c r="G194">
        <v>96516</v>
      </c>
      <c r="H194">
        <v>30</v>
      </c>
      <c r="I194">
        <v>4</v>
      </c>
      <c r="J194">
        <v>4</v>
      </c>
      <c r="K194">
        <v>8</v>
      </c>
      <c r="L194" s="1">
        <v>43656</v>
      </c>
      <c r="M194" s="1" t="s">
        <v>9</v>
      </c>
    </row>
    <row r="195" spans="1:13" x14ac:dyDescent="0.25">
      <c r="A195">
        <v>1194</v>
      </c>
      <c r="B195">
        <v>44</v>
      </c>
      <c r="C195" t="s">
        <v>31</v>
      </c>
      <c r="D195" t="s">
        <v>23</v>
      </c>
      <c r="E195" t="s">
        <v>41</v>
      </c>
      <c r="F195" t="s">
        <v>17</v>
      </c>
      <c r="G195">
        <v>80097</v>
      </c>
      <c r="H195">
        <v>2</v>
      </c>
      <c r="I195">
        <v>37</v>
      </c>
      <c r="J195">
        <v>2</v>
      </c>
      <c r="K195">
        <v>5</v>
      </c>
      <c r="L195" s="1">
        <v>43750</v>
      </c>
      <c r="M195" s="1" t="s">
        <v>9</v>
      </c>
    </row>
    <row r="196" spans="1:13" x14ac:dyDescent="0.25">
      <c r="A196">
        <v>1195</v>
      </c>
      <c r="B196">
        <v>47</v>
      </c>
      <c r="C196" t="s">
        <v>31</v>
      </c>
      <c r="D196" t="s">
        <v>35</v>
      </c>
      <c r="E196" t="s">
        <v>20</v>
      </c>
      <c r="F196" t="s">
        <v>29</v>
      </c>
      <c r="G196">
        <v>89762</v>
      </c>
      <c r="H196">
        <v>30</v>
      </c>
      <c r="I196">
        <v>12</v>
      </c>
      <c r="J196">
        <v>3</v>
      </c>
      <c r="K196">
        <v>3</v>
      </c>
      <c r="L196" s="1">
        <v>44767</v>
      </c>
      <c r="M196" s="1" t="s">
        <v>9</v>
      </c>
    </row>
    <row r="197" spans="1:13" x14ac:dyDescent="0.25">
      <c r="A197">
        <v>1196</v>
      </c>
      <c r="B197">
        <v>52</v>
      </c>
      <c r="C197" t="s">
        <v>43</v>
      </c>
      <c r="D197" t="s">
        <v>27</v>
      </c>
      <c r="E197" t="s">
        <v>14</v>
      </c>
      <c r="F197" t="s">
        <v>29</v>
      </c>
      <c r="G197">
        <v>56769</v>
      </c>
      <c r="H197">
        <v>3</v>
      </c>
      <c r="I197">
        <v>10</v>
      </c>
      <c r="J197">
        <v>1</v>
      </c>
      <c r="K197">
        <v>8</v>
      </c>
      <c r="L197" s="1">
        <v>44014</v>
      </c>
      <c r="M197" s="1" t="s">
        <v>9</v>
      </c>
    </row>
    <row r="198" spans="1:13" x14ac:dyDescent="0.25">
      <c r="A198">
        <v>1197</v>
      </c>
      <c r="B198">
        <v>43</v>
      </c>
      <c r="C198" t="s">
        <v>43</v>
      </c>
      <c r="D198" t="s">
        <v>22</v>
      </c>
      <c r="E198" t="s">
        <v>14</v>
      </c>
      <c r="F198" t="s">
        <v>44</v>
      </c>
      <c r="G198">
        <v>66664</v>
      </c>
      <c r="H198">
        <v>2</v>
      </c>
      <c r="I198">
        <v>53</v>
      </c>
      <c r="J198">
        <v>4</v>
      </c>
      <c r="K198">
        <v>9</v>
      </c>
      <c r="L198" s="1">
        <v>45455</v>
      </c>
      <c r="M198" s="1" t="s">
        <v>9</v>
      </c>
    </row>
    <row r="199" spans="1:13" x14ac:dyDescent="0.25">
      <c r="A199">
        <v>1198</v>
      </c>
      <c r="B199">
        <v>49</v>
      </c>
      <c r="C199" t="s">
        <v>31</v>
      </c>
      <c r="D199" t="s">
        <v>13</v>
      </c>
      <c r="E199" t="s">
        <v>20</v>
      </c>
      <c r="F199" t="s">
        <v>24</v>
      </c>
      <c r="G199">
        <v>68203</v>
      </c>
      <c r="H199">
        <v>1</v>
      </c>
      <c r="I199">
        <v>11</v>
      </c>
      <c r="J199">
        <v>3</v>
      </c>
      <c r="K199">
        <v>2</v>
      </c>
      <c r="L199" s="1">
        <v>42295</v>
      </c>
      <c r="M199" s="1" t="s">
        <v>9</v>
      </c>
    </row>
    <row r="200" spans="1:13" x14ac:dyDescent="0.25">
      <c r="A200">
        <v>1199</v>
      </c>
      <c r="B200">
        <v>41</v>
      </c>
      <c r="C200" t="s">
        <v>33</v>
      </c>
      <c r="D200" t="s">
        <v>36</v>
      </c>
      <c r="E200" t="s">
        <v>28</v>
      </c>
      <c r="F200" t="s">
        <v>17</v>
      </c>
      <c r="G200">
        <v>50204</v>
      </c>
      <c r="H200">
        <v>18</v>
      </c>
      <c r="I200">
        <v>50</v>
      </c>
      <c r="J200">
        <v>1</v>
      </c>
      <c r="K200">
        <v>5</v>
      </c>
      <c r="L200" s="1">
        <v>44385</v>
      </c>
      <c r="M200" s="1" t="s">
        <v>9</v>
      </c>
    </row>
    <row r="201" spans="1:13" x14ac:dyDescent="0.25">
      <c r="A201">
        <v>1200</v>
      </c>
      <c r="B201">
        <v>35</v>
      </c>
      <c r="C201" t="s">
        <v>33</v>
      </c>
      <c r="D201" t="s">
        <v>13</v>
      </c>
      <c r="E201" t="s">
        <v>20</v>
      </c>
      <c r="F201" t="s">
        <v>29</v>
      </c>
      <c r="G201">
        <v>54552</v>
      </c>
      <c r="H201">
        <v>17</v>
      </c>
      <c r="I201">
        <v>53</v>
      </c>
      <c r="J201" t="s">
        <v>9</v>
      </c>
      <c r="K201">
        <v>6</v>
      </c>
      <c r="L201" s="1">
        <v>42064</v>
      </c>
      <c r="M201" s="1">
        <v>44753</v>
      </c>
    </row>
    <row r="202" spans="1:13" x14ac:dyDescent="0.25">
      <c r="A202">
        <v>1201</v>
      </c>
      <c r="B202">
        <v>36</v>
      </c>
      <c r="C202" t="s">
        <v>31</v>
      </c>
      <c r="D202" t="s">
        <v>13</v>
      </c>
      <c r="E202" t="s">
        <v>34</v>
      </c>
      <c r="F202" t="s">
        <v>18</v>
      </c>
      <c r="G202">
        <v>86988</v>
      </c>
      <c r="H202">
        <v>13</v>
      </c>
      <c r="I202">
        <v>10</v>
      </c>
      <c r="J202">
        <v>4</v>
      </c>
      <c r="K202">
        <v>6</v>
      </c>
      <c r="L202" s="1">
        <v>43416</v>
      </c>
      <c r="M202" s="1" t="s">
        <v>9</v>
      </c>
    </row>
    <row r="203" spans="1:13" x14ac:dyDescent="0.25">
      <c r="A203">
        <v>1202</v>
      </c>
      <c r="B203">
        <v>47</v>
      </c>
      <c r="C203" t="s">
        <v>31</v>
      </c>
      <c r="D203" t="s">
        <v>38</v>
      </c>
      <c r="E203" t="s">
        <v>20</v>
      </c>
      <c r="F203" t="s">
        <v>42</v>
      </c>
      <c r="G203">
        <v>103293</v>
      </c>
      <c r="H203">
        <v>29</v>
      </c>
      <c r="I203">
        <v>19</v>
      </c>
      <c r="J203">
        <v>5</v>
      </c>
      <c r="K203">
        <v>7</v>
      </c>
      <c r="L203" s="1">
        <v>44760</v>
      </c>
      <c r="M203" s="1" t="s">
        <v>9</v>
      </c>
    </row>
    <row r="204" spans="1:13" x14ac:dyDescent="0.25">
      <c r="A204">
        <v>1203</v>
      </c>
      <c r="B204">
        <v>54</v>
      </c>
      <c r="C204" t="s">
        <v>43</v>
      </c>
      <c r="D204" t="s">
        <v>13</v>
      </c>
      <c r="E204" t="s">
        <v>20</v>
      </c>
      <c r="F204" t="s">
        <v>15</v>
      </c>
      <c r="G204">
        <v>99613</v>
      </c>
      <c r="H204">
        <v>22</v>
      </c>
      <c r="I204">
        <v>36</v>
      </c>
      <c r="J204">
        <v>3</v>
      </c>
      <c r="K204">
        <v>10</v>
      </c>
      <c r="L204" s="1">
        <v>43853</v>
      </c>
      <c r="M204" s="1" t="s">
        <v>9</v>
      </c>
    </row>
    <row r="205" spans="1:13" x14ac:dyDescent="0.25">
      <c r="A205">
        <v>1204</v>
      </c>
      <c r="B205">
        <v>27</v>
      </c>
      <c r="C205" t="s">
        <v>32</v>
      </c>
      <c r="D205" t="s">
        <v>13</v>
      </c>
      <c r="E205" t="s">
        <v>14</v>
      </c>
      <c r="F205" t="s">
        <v>15</v>
      </c>
      <c r="G205">
        <v>82752</v>
      </c>
      <c r="H205">
        <v>10</v>
      </c>
      <c r="I205">
        <v>22</v>
      </c>
      <c r="J205">
        <v>4</v>
      </c>
      <c r="K205">
        <v>2</v>
      </c>
      <c r="L205" s="1">
        <v>42451</v>
      </c>
      <c r="M205" s="1" t="s">
        <v>9</v>
      </c>
    </row>
    <row r="206" spans="1:13" x14ac:dyDescent="0.25">
      <c r="A206">
        <v>1205</v>
      </c>
      <c r="B206">
        <v>38</v>
      </c>
      <c r="C206" t="s">
        <v>31</v>
      </c>
      <c r="D206" t="s">
        <v>38</v>
      </c>
      <c r="E206" t="s">
        <v>14</v>
      </c>
      <c r="F206" t="s">
        <v>15</v>
      </c>
      <c r="G206">
        <v>97196</v>
      </c>
      <c r="H206">
        <v>0</v>
      </c>
      <c r="I206">
        <v>10</v>
      </c>
      <c r="J206">
        <v>3</v>
      </c>
      <c r="K206">
        <v>7</v>
      </c>
      <c r="L206" s="1">
        <v>44241</v>
      </c>
      <c r="M206" s="1" t="s">
        <v>9</v>
      </c>
    </row>
    <row r="207" spans="1:13" x14ac:dyDescent="0.25">
      <c r="A207">
        <v>1206</v>
      </c>
      <c r="B207">
        <v>50</v>
      </c>
      <c r="C207" t="s">
        <v>32</v>
      </c>
      <c r="D207" t="s">
        <v>22</v>
      </c>
      <c r="E207" t="s">
        <v>25</v>
      </c>
      <c r="F207" t="s">
        <v>18</v>
      </c>
      <c r="G207">
        <v>103326</v>
      </c>
      <c r="H207">
        <v>12</v>
      </c>
      <c r="I207">
        <v>8</v>
      </c>
      <c r="J207" t="s">
        <v>9</v>
      </c>
      <c r="K207">
        <v>8</v>
      </c>
      <c r="L207" s="1">
        <v>43881</v>
      </c>
      <c r="M207" s="1" t="s">
        <v>9</v>
      </c>
    </row>
    <row r="208" spans="1:13" x14ac:dyDescent="0.25">
      <c r="A208">
        <v>1207</v>
      </c>
      <c r="B208">
        <v>40</v>
      </c>
      <c r="C208" t="s">
        <v>31</v>
      </c>
      <c r="D208" t="s">
        <v>38</v>
      </c>
      <c r="E208" t="s">
        <v>12</v>
      </c>
      <c r="F208" t="s">
        <v>29</v>
      </c>
      <c r="G208">
        <v>106148</v>
      </c>
      <c r="H208">
        <v>0</v>
      </c>
      <c r="I208">
        <v>9</v>
      </c>
      <c r="J208">
        <v>5</v>
      </c>
      <c r="K208">
        <v>3</v>
      </c>
      <c r="L208" s="1">
        <v>45148</v>
      </c>
      <c r="M208" s="1" t="s">
        <v>9</v>
      </c>
    </row>
    <row r="209" spans="1:13" x14ac:dyDescent="0.25">
      <c r="A209">
        <v>1208</v>
      </c>
      <c r="B209">
        <v>28</v>
      </c>
      <c r="C209" t="s">
        <v>31</v>
      </c>
      <c r="D209" t="s">
        <v>13</v>
      </c>
      <c r="E209" t="s">
        <v>20</v>
      </c>
      <c r="F209" t="s">
        <v>44</v>
      </c>
      <c r="G209">
        <v>104930</v>
      </c>
      <c r="H209">
        <v>19</v>
      </c>
      <c r="I209">
        <v>32</v>
      </c>
      <c r="J209">
        <v>2</v>
      </c>
      <c r="K209">
        <v>4</v>
      </c>
      <c r="L209" s="1">
        <v>45156</v>
      </c>
      <c r="M209" s="1" t="s">
        <v>9</v>
      </c>
    </row>
    <row r="210" spans="1:13" x14ac:dyDescent="0.25">
      <c r="A210">
        <v>1209</v>
      </c>
      <c r="B210">
        <v>59</v>
      </c>
      <c r="C210" t="s">
        <v>32</v>
      </c>
      <c r="D210" t="s">
        <v>16</v>
      </c>
      <c r="E210" t="s">
        <v>20</v>
      </c>
      <c r="F210" t="s">
        <v>17</v>
      </c>
      <c r="G210">
        <v>52900</v>
      </c>
      <c r="H210">
        <v>21</v>
      </c>
      <c r="I210">
        <v>15</v>
      </c>
      <c r="J210">
        <v>3</v>
      </c>
      <c r="K210">
        <v>9</v>
      </c>
      <c r="L210" s="1">
        <v>44544</v>
      </c>
      <c r="M210" s="1">
        <v>45648</v>
      </c>
    </row>
    <row r="211" spans="1:13" x14ac:dyDescent="0.25">
      <c r="A211">
        <v>1210</v>
      </c>
      <c r="B211">
        <v>55</v>
      </c>
      <c r="C211" t="s">
        <v>31</v>
      </c>
      <c r="D211" t="s">
        <v>35</v>
      </c>
      <c r="E211" t="s">
        <v>14</v>
      </c>
      <c r="F211" t="s">
        <v>18</v>
      </c>
      <c r="G211">
        <v>56213</v>
      </c>
      <c r="H211">
        <v>26</v>
      </c>
      <c r="I211">
        <v>4</v>
      </c>
      <c r="J211">
        <v>5</v>
      </c>
      <c r="K211">
        <v>9</v>
      </c>
      <c r="L211" s="1">
        <v>43901</v>
      </c>
      <c r="M211" s="1" t="s">
        <v>9</v>
      </c>
    </row>
    <row r="212" spans="1:13" x14ac:dyDescent="0.25">
      <c r="A212">
        <v>1211</v>
      </c>
      <c r="B212">
        <v>52</v>
      </c>
      <c r="C212" t="s">
        <v>31</v>
      </c>
      <c r="D212" t="s">
        <v>19</v>
      </c>
      <c r="E212" t="s">
        <v>14</v>
      </c>
      <c r="F212" t="s">
        <v>15</v>
      </c>
      <c r="G212">
        <v>108167</v>
      </c>
      <c r="H212">
        <v>24</v>
      </c>
      <c r="I212">
        <v>14</v>
      </c>
      <c r="J212">
        <v>1</v>
      </c>
      <c r="K212">
        <v>8</v>
      </c>
      <c r="L212" s="1">
        <v>43458</v>
      </c>
      <c r="M212" s="1" t="s">
        <v>9</v>
      </c>
    </row>
    <row r="213" spans="1:13" x14ac:dyDescent="0.25">
      <c r="A213">
        <v>1212</v>
      </c>
      <c r="B213">
        <v>53</v>
      </c>
      <c r="C213" t="s">
        <v>31</v>
      </c>
      <c r="D213" t="s">
        <v>38</v>
      </c>
      <c r="E213" t="s">
        <v>20</v>
      </c>
      <c r="F213" t="s">
        <v>17</v>
      </c>
      <c r="G213">
        <v>75427</v>
      </c>
      <c r="H213">
        <v>12</v>
      </c>
      <c r="I213">
        <v>31</v>
      </c>
      <c r="J213">
        <v>4</v>
      </c>
      <c r="K213">
        <v>7</v>
      </c>
      <c r="L213" s="1">
        <v>43623</v>
      </c>
      <c r="M213" s="1" t="s">
        <v>9</v>
      </c>
    </row>
    <row r="214" spans="1:13" x14ac:dyDescent="0.25">
      <c r="A214">
        <v>1213</v>
      </c>
      <c r="B214">
        <v>57</v>
      </c>
      <c r="C214" t="s">
        <v>32</v>
      </c>
      <c r="D214" t="s">
        <v>36</v>
      </c>
      <c r="E214" t="s">
        <v>20</v>
      </c>
      <c r="F214" t="s">
        <v>17</v>
      </c>
      <c r="G214">
        <v>96244</v>
      </c>
      <c r="H214">
        <v>22</v>
      </c>
      <c r="I214">
        <v>27</v>
      </c>
      <c r="J214">
        <v>3</v>
      </c>
      <c r="K214">
        <v>5</v>
      </c>
      <c r="L214" s="1">
        <v>45391</v>
      </c>
      <c r="M214" s="1" t="s">
        <v>9</v>
      </c>
    </row>
    <row r="215" spans="1:13" x14ac:dyDescent="0.25">
      <c r="A215">
        <v>1214</v>
      </c>
      <c r="B215">
        <v>26</v>
      </c>
      <c r="C215" t="s">
        <v>31</v>
      </c>
      <c r="D215" t="s">
        <v>38</v>
      </c>
      <c r="E215" t="s">
        <v>14</v>
      </c>
      <c r="F215" t="s">
        <v>29</v>
      </c>
      <c r="G215">
        <v>68888</v>
      </c>
      <c r="H215">
        <v>9</v>
      </c>
      <c r="I215">
        <v>55</v>
      </c>
      <c r="J215" t="s">
        <v>9</v>
      </c>
      <c r="K215">
        <v>5</v>
      </c>
      <c r="L215" s="1">
        <v>42930</v>
      </c>
      <c r="M215" s="1" t="s">
        <v>9</v>
      </c>
    </row>
    <row r="216" spans="1:13" x14ac:dyDescent="0.25">
      <c r="A216">
        <v>1215</v>
      </c>
      <c r="B216">
        <v>46</v>
      </c>
      <c r="C216" t="s">
        <v>32</v>
      </c>
      <c r="D216" t="s">
        <v>38</v>
      </c>
      <c r="E216" t="s">
        <v>25</v>
      </c>
      <c r="F216" t="s">
        <v>17</v>
      </c>
      <c r="G216">
        <v>78515</v>
      </c>
      <c r="H216">
        <v>26</v>
      </c>
      <c r="I216">
        <v>14</v>
      </c>
      <c r="J216">
        <v>4</v>
      </c>
      <c r="K216">
        <v>8</v>
      </c>
      <c r="L216" s="1">
        <v>43332</v>
      </c>
      <c r="M216" s="1" t="s">
        <v>9</v>
      </c>
    </row>
    <row r="217" spans="1:13" x14ac:dyDescent="0.25">
      <c r="A217">
        <v>1216</v>
      </c>
      <c r="B217">
        <v>33</v>
      </c>
      <c r="C217" t="s">
        <v>43</v>
      </c>
      <c r="D217" t="s">
        <v>13</v>
      </c>
      <c r="E217" t="s">
        <v>14</v>
      </c>
      <c r="F217" t="s">
        <v>29</v>
      </c>
      <c r="G217">
        <v>50533</v>
      </c>
      <c r="H217">
        <v>3</v>
      </c>
      <c r="I217">
        <v>20</v>
      </c>
      <c r="J217">
        <v>3</v>
      </c>
      <c r="K217">
        <v>4</v>
      </c>
      <c r="L217" s="1">
        <v>42364</v>
      </c>
      <c r="M217" s="1" t="s">
        <v>9</v>
      </c>
    </row>
    <row r="218" spans="1:13" x14ac:dyDescent="0.25">
      <c r="A218">
        <v>1217</v>
      </c>
      <c r="B218">
        <v>46</v>
      </c>
      <c r="C218" t="s">
        <v>43</v>
      </c>
      <c r="D218" t="s">
        <v>13</v>
      </c>
      <c r="E218" t="s">
        <v>14</v>
      </c>
      <c r="F218" t="s">
        <v>40</v>
      </c>
      <c r="G218">
        <v>64469</v>
      </c>
      <c r="H218">
        <v>24</v>
      </c>
      <c r="I218">
        <v>11</v>
      </c>
      <c r="J218" t="s">
        <v>9</v>
      </c>
      <c r="K218">
        <v>8</v>
      </c>
      <c r="L218" s="1">
        <v>44009</v>
      </c>
      <c r="M218" s="1">
        <v>43002</v>
      </c>
    </row>
    <row r="219" spans="1:13" x14ac:dyDescent="0.25">
      <c r="A219">
        <v>1218</v>
      </c>
      <c r="B219">
        <v>53</v>
      </c>
      <c r="C219" t="s">
        <v>32</v>
      </c>
      <c r="D219" t="s">
        <v>27</v>
      </c>
      <c r="E219" t="s">
        <v>20</v>
      </c>
      <c r="F219" t="s">
        <v>17</v>
      </c>
      <c r="G219">
        <v>77232</v>
      </c>
      <c r="H219">
        <v>22</v>
      </c>
      <c r="I219">
        <v>55</v>
      </c>
      <c r="J219">
        <v>1</v>
      </c>
      <c r="K219">
        <v>9</v>
      </c>
      <c r="L219" s="1">
        <v>43446</v>
      </c>
      <c r="M219" s="1" t="s">
        <v>9</v>
      </c>
    </row>
    <row r="220" spans="1:13" x14ac:dyDescent="0.25">
      <c r="A220">
        <v>1219</v>
      </c>
      <c r="B220">
        <v>59</v>
      </c>
      <c r="C220" t="s">
        <v>32</v>
      </c>
      <c r="D220" t="s">
        <v>23</v>
      </c>
      <c r="E220" t="s">
        <v>39</v>
      </c>
      <c r="F220" t="s">
        <v>24</v>
      </c>
      <c r="G220">
        <v>85804</v>
      </c>
      <c r="H220">
        <v>0</v>
      </c>
      <c r="I220">
        <v>19</v>
      </c>
      <c r="J220">
        <v>5</v>
      </c>
      <c r="K220">
        <v>9</v>
      </c>
      <c r="L220" s="1">
        <v>45185</v>
      </c>
      <c r="M220" s="1" t="s">
        <v>9</v>
      </c>
    </row>
    <row r="221" spans="1:13" x14ac:dyDescent="0.25">
      <c r="A221">
        <v>1220</v>
      </c>
      <c r="B221">
        <v>30</v>
      </c>
      <c r="C221" t="s">
        <v>31</v>
      </c>
      <c r="D221" t="s">
        <v>23</v>
      </c>
      <c r="E221" t="s">
        <v>20</v>
      </c>
      <c r="F221" t="s">
        <v>15</v>
      </c>
      <c r="G221">
        <v>50081</v>
      </c>
      <c r="H221">
        <v>17</v>
      </c>
      <c r="I221">
        <v>56</v>
      </c>
      <c r="J221">
        <v>2</v>
      </c>
      <c r="K221">
        <v>3</v>
      </c>
      <c r="L221" s="1">
        <v>44660</v>
      </c>
      <c r="M221" s="1" t="s">
        <v>9</v>
      </c>
    </row>
    <row r="222" spans="1:13" x14ac:dyDescent="0.25">
      <c r="A222">
        <v>1221</v>
      </c>
      <c r="B222">
        <v>29</v>
      </c>
      <c r="C222" t="s">
        <v>31</v>
      </c>
      <c r="D222" t="s">
        <v>13</v>
      </c>
      <c r="E222" t="s">
        <v>28</v>
      </c>
      <c r="F222" t="s">
        <v>24</v>
      </c>
      <c r="G222">
        <v>102577</v>
      </c>
      <c r="H222">
        <v>11</v>
      </c>
      <c r="I222">
        <v>56</v>
      </c>
      <c r="J222">
        <v>5</v>
      </c>
      <c r="K222">
        <v>1</v>
      </c>
      <c r="L222" s="1">
        <v>44275</v>
      </c>
      <c r="M222" s="1" t="s">
        <v>9</v>
      </c>
    </row>
    <row r="223" spans="1:13" x14ac:dyDescent="0.25">
      <c r="A223">
        <v>1222</v>
      </c>
      <c r="B223">
        <v>26</v>
      </c>
      <c r="C223" t="s">
        <v>33</v>
      </c>
      <c r="D223" t="s">
        <v>13</v>
      </c>
      <c r="E223" t="s">
        <v>39</v>
      </c>
      <c r="F223" t="s">
        <v>15</v>
      </c>
      <c r="G223">
        <v>59318</v>
      </c>
      <c r="H223">
        <v>24</v>
      </c>
      <c r="I223">
        <v>54</v>
      </c>
      <c r="J223">
        <v>3</v>
      </c>
      <c r="K223">
        <v>9</v>
      </c>
      <c r="L223" s="1">
        <v>43013</v>
      </c>
      <c r="M223" s="1" t="s">
        <v>9</v>
      </c>
    </row>
    <row r="224" spans="1:13" x14ac:dyDescent="0.25">
      <c r="A224">
        <v>1223</v>
      </c>
      <c r="B224">
        <v>34</v>
      </c>
      <c r="C224" t="s">
        <v>32</v>
      </c>
      <c r="D224" t="s">
        <v>27</v>
      </c>
      <c r="E224" t="s">
        <v>20</v>
      </c>
      <c r="F224" t="s">
        <v>15</v>
      </c>
      <c r="G224">
        <v>62349</v>
      </c>
      <c r="H224">
        <v>5</v>
      </c>
      <c r="I224">
        <v>49</v>
      </c>
      <c r="J224">
        <v>4</v>
      </c>
      <c r="K224">
        <v>5</v>
      </c>
      <c r="L224" s="1">
        <v>44070</v>
      </c>
      <c r="M224" s="1" t="s">
        <v>9</v>
      </c>
    </row>
    <row r="225" spans="1:13" x14ac:dyDescent="0.25">
      <c r="A225">
        <v>1224</v>
      </c>
      <c r="B225">
        <v>54</v>
      </c>
      <c r="C225" t="s">
        <v>31</v>
      </c>
      <c r="D225" t="s">
        <v>16</v>
      </c>
      <c r="E225" t="s">
        <v>25</v>
      </c>
      <c r="F225" t="s">
        <v>29</v>
      </c>
      <c r="G225">
        <v>97360</v>
      </c>
      <c r="H225">
        <v>15</v>
      </c>
      <c r="I225">
        <v>19</v>
      </c>
      <c r="J225" t="s">
        <v>9</v>
      </c>
      <c r="K225">
        <v>2</v>
      </c>
      <c r="L225" s="1">
        <v>43215</v>
      </c>
      <c r="M225" s="1" t="s">
        <v>9</v>
      </c>
    </row>
    <row r="226" spans="1:13" x14ac:dyDescent="0.25">
      <c r="A226">
        <v>1225</v>
      </c>
      <c r="B226">
        <v>56</v>
      </c>
      <c r="C226" t="s">
        <v>33</v>
      </c>
      <c r="D226" t="s">
        <v>22</v>
      </c>
      <c r="E226" t="s">
        <v>14</v>
      </c>
      <c r="F226" t="s">
        <v>17</v>
      </c>
      <c r="G226">
        <v>63318</v>
      </c>
      <c r="H226">
        <v>28</v>
      </c>
      <c r="I226">
        <v>58</v>
      </c>
      <c r="J226">
        <v>1</v>
      </c>
      <c r="K226">
        <v>10</v>
      </c>
      <c r="L226" s="1">
        <v>45181</v>
      </c>
      <c r="M226" s="1">
        <v>45522</v>
      </c>
    </row>
    <row r="227" spans="1:13" x14ac:dyDescent="0.25">
      <c r="A227">
        <v>1226</v>
      </c>
      <c r="B227">
        <v>46</v>
      </c>
      <c r="C227" t="s">
        <v>31</v>
      </c>
      <c r="D227" t="s">
        <v>13</v>
      </c>
      <c r="E227" t="s">
        <v>12</v>
      </c>
      <c r="F227" t="s">
        <v>26</v>
      </c>
      <c r="G227">
        <v>72227</v>
      </c>
      <c r="H227">
        <v>22</v>
      </c>
      <c r="I227">
        <v>53</v>
      </c>
      <c r="J227" t="s">
        <v>9</v>
      </c>
      <c r="K227">
        <v>5</v>
      </c>
      <c r="L227" s="1">
        <v>43655</v>
      </c>
      <c r="M227" s="1">
        <v>44223</v>
      </c>
    </row>
    <row r="228" spans="1:13" x14ac:dyDescent="0.25">
      <c r="A228">
        <v>1227</v>
      </c>
      <c r="B228">
        <v>54</v>
      </c>
      <c r="C228" t="s">
        <v>32</v>
      </c>
      <c r="D228" t="s">
        <v>22</v>
      </c>
      <c r="E228" t="s">
        <v>14</v>
      </c>
      <c r="F228" t="s">
        <v>21</v>
      </c>
      <c r="G228">
        <v>73673</v>
      </c>
      <c r="H228">
        <v>0</v>
      </c>
      <c r="I228">
        <v>29</v>
      </c>
      <c r="J228">
        <v>4</v>
      </c>
      <c r="K228">
        <v>7</v>
      </c>
      <c r="L228" s="1">
        <v>42829</v>
      </c>
      <c r="M228" s="1" t="s">
        <v>9</v>
      </c>
    </row>
    <row r="229" spans="1:13" x14ac:dyDescent="0.25">
      <c r="A229">
        <v>1228</v>
      </c>
      <c r="B229">
        <v>52</v>
      </c>
      <c r="C229" t="s">
        <v>31</v>
      </c>
      <c r="D229" t="s">
        <v>27</v>
      </c>
      <c r="E229" t="s">
        <v>25</v>
      </c>
      <c r="F229" t="s">
        <v>17</v>
      </c>
      <c r="G229">
        <v>99349</v>
      </c>
      <c r="H229">
        <v>22</v>
      </c>
      <c r="I229">
        <v>45</v>
      </c>
      <c r="J229">
        <v>1</v>
      </c>
      <c r="K229">
        <v>2</v>
      </c>
      <c r="L229" s="1">
        <v>42418</v>
      </c>
      <c r="M229" s="1" t="s">
        <v>9</v>
      </c>
    </row>
    <row r="230" spans="1:13" x14ac:dyDescent="0.25">
      <c r="A230">
        <v>1229</v>
      </c>
      <c r="B230">
        <v>22</v>
      </c>
      <c r="C230" t="s">
        <v>32</v>
      </c>
      <c r="D230" t="s">
        <v>36</v>
      </c>
      <c r="E230" t="s">
        <v>25</v>
      </c>
      <c r="F230" t="s">
        <v>29</v>
      </c>
      <c r="G230">
        <v>77809</v>
      </c>
      <c r="H230">
        <v>26</v>
      </c>
      <c r="I230">
        <v>6</v>
      </c>
      <c r="J230" t="s">
        <v>9</v>
      </c>
      <c r="K230">
        <v>7</v>
      </c>
      <c r="L230" s="1">
        <v>43034</v>
      </c>
      <c r="M230" s="1">
        <v>43211</v>
      </c>
    </row>
    <row r="231" spans="1:13" x14ac:dyDescent="0.25">
      <c r="A231">
        <v>1230</v>
      </c>
      <c r="B231">
        <v>38</v>
      </c>
      <c r="C231" t="s">
        <v>31</v>
      </c>
      <c r="D231" t="s">
        <v>16</v>
      </c>
      <c r="E231" t="s">
        <v>12</v>
      </c>
      <c r="F231" t="s">
        <v>21</v>
      </c>
      <c r="G231">
        <v>58091</v>
      </c>
      <c r="H231">
        <v>28</v>
      </c>
      <c r="I231">
        <v>46</v>
      </c>
      <c r="J231">
        <v>5</v>
      </c>
      <c r="K231">
        <v>1</v>
      </c>
      <c r="L231" s="1">
        <v>44728</v>
      </c>
      <c r="M231" s="1" t="s">
        <v>9</v>
      </c>
    </row>
    <row r="232" spans="1:13" x14ac:dyDescent="0.25">
      <c r="A232">
        <v>1231</v>
      </c>
      <c r="B232">
        <v>24</v>
      </c>
      <c r="C232" t="s">
        <v>31</v>
      </c>
      <c r="D232" t="s">
        <v>27</v>
      </c>
      <c r="E232" t="s">
        <v>28</v>
      </c>
      <c r="F232" t="s">
        <v>17</v>
      </c>
      <c r="G232">
        <v>95307</v>
      </c>
      <c r="H232">
        <v>14</v>
      </c>
      <c r="I232">
        <v>8</v>
      </c>
      <c r="J232">
        <v>5</v>
      </c>
      <c r="K232">
        <v>7</v>
      </c>
      <c r="L232" s="1">
        <v>45313</v>
      </c>
      <c r="M232" s="1">
        <v>45256</v>
      </c>
    </row>
    <row r="233" spans="1:13" x14ac:dyDescent="0.25">
      <c r="A233">
        <v>1232</v>
      </c>
      <c r="B233">
        <v>21</v>
      </c>
      <c r="C233" t="s">
        <v>32</v>
      </c>
      <c r="D233" t="s">
        <v>23</v>
      </c>
      <c r="E233" t="s">
        <v>41</v>
      </c>
      <c r="F233" t="s">
        <v>18</v>
      </c>
      <c r="G233">
        <v>108143</v>
      </c>
      <c r="H233">
        <v>1</v>
      </c>
      <c r="I233">
        <v>28</v>
      </c>
      <c r="J233" t="s">
        <v>9</v>
      </c>
      <c r="K233">
        <v>2</v>
      </c>
      <c r="L233" s="1">
        <v>44893</v>
      </c>
      <c r="M233" s="1">
        <v>43831</v>
      </c>
    </row>
    <row r="234" spans="1:13" x14ac:dyDescent="0.25">
      <c r="A234">
        <v>1233</v>
      </c>
      <c r="B234">
        <v>25</v>
      </c>
      <c r="C234" t="s">
        <v>32</v>
      </c>
      <c r="D234" t="s">
        <v>16</v>
      </c>
      <c r="E234" t="s">
        <v>25</v>
      </c>
      <c r="F234" t="s">
        <v>15</v>
      </c>
      <c r="G234">
        <v>49604</v>
      </c>
      <c r="H234">
        <v>25</v>
      </c>
      <c r="I234">
        <v>38</v>
      </c>
      <c r="J234">
        <v>3</v>
      </c>
      <c r="K234">
        <v>10</v>
      </c>
      <c r="L234" s="1">
        <v>43046</v>
      </c>
      <c r="M234" s="1">
        <v>45069</v>
      </c>
    </row>
    <row r="235" spans="1:13" x14ac:dyDescent="0.25">
      <c r="A235">
        <v>1234</v>
      </c>
      <c r="B235">
        <v>46</v>
      </c>
      <c r="C235" t="s">
        <v>31</v>
      </c>
      <c r="D235" t="s">
        <v>22</v>
      </c>
      <c r="E235" t="s">
        <v>25</v>
      </c>
      <c r="F235" t="s">
        <v>26</v>
      </c>
      <c r="G235">
        <v>100682</v>
      </c>
      <c r="H235">
        <v>6</v>
      </c>
      <c r="I235">
        <v>26</v>
      </c>
      <c r="J235">
        <v>4</v>
      </c>
      <c r="K235">
        <v>4</v>
      </c>
      <c r="L235" s="1">
        <v>45549</v>
      </c>
      <c r="M235" s="1" t="s">
        <v>9</v>
      </c>
    </row>
    <row r="236" spans="1:13" x14ac:dyDescent="0.25">
      <c r="A236">
        <v>1235</v>
      </c>
      <c r="B236">
        <v>51</v>
      </c>
      <c r="C236" t="s">
        <v>37</v>
      </c>
      <c r="D236" t="s">
        <v>23</v>
      </c>
      <c r="E236" t="s">
        <v>12</v>
      </c>
      <c r="F236" t="s">
        <v>21</v>
      </c>
      <c r="G236">
        <v>51665</v>
      </c>
      <c r="H236">
        <v>23</v>
      </c>
      <c r="I236">
        <v>50</v>
      </c>
      <c r="J236">
        <v>4</v>
      </c>
      <c r="K236">
        <v>2</v>
      </c>
      <c r="L236" s="1">
        <v>45129</v>
      </c>
      <c r="M236" s="1" t="s">
        <v>9</v>
      </c>
    </row>
    <row r="237" spans="1:13" x14ac:dyDescent="0.25">
      <c r="A237">
        <v>1236</v>
      </c>
      <c r="B237">
        <v>39</v>
      </c>
      <c r="C237" t="s">
        <v>32</v>
      </c>
      <c r="D237" t="s">
        <v>13</v>
      </c>
      <c r="E237" t="s">
        <v>25</v>
      </c>
      <c r="F237" t="s">
        <v>29</v>
      </c>
      <c r="G237">
        <v>93831</v>
      </c>
      <c r="H237">
        <v>3</v>
      </c>
      <c r="I237">
        <v>38</v>
      </c>
      <c r="J237">
        <v>3</v>
      </c>
      <c r="K237">
        <v>4</v>
      </c>
      <c r="L237" s="1">
        <v>43755</v>
      </c>
      <c r="M237" s="1" t="s">
        <v>9</v>
      </c>
    </row>
    <row r="238" spans="1:13" x14ac:dyDescent="0.25">
      <c r="A238">
        <v>1237</v>
      </c>
      <c r="B238">
        <v>44</v>
      </c>
      <c r="C238" t="s">
        <v>31</v>
      </c>
      <c r="D238" t="s">
        <v>22</v>
      </c>
      <c r="E238" t="s">
        <v>28</v>
      </c>
      <c r="F238" t="s">
        <v>24</v>
      </c>
      <c r="G238">
        <v>53149</v>
      </c>
      <c r="H238">
        <v>29</v>
      </c>
      <c r="I238">
        <v>32</v>
      </c>
      <c r="J238">
        <v>2</v>
      </c>
      <c r="K238">
        <v>10</v>
      </c>
      <c r="L238" s="1">
        <v>45313</v>
      </c>
      <c r="M238" s="1">
        <v>42543</v>
      </c>
    </row>
    <row r="239" spans="1:13" x14ac:dyDescent="0.25">
      <c r="A239">
        <v>1238</v>
      </c>
      <c r="B239">
        <v>38</v>
      </c>
      <c r="C239" t="s">
        <v>32</v>
      </c>
      <c r="D239" t="s">
        <v>19</v>
      </c>
      <c r="E239" t="s">
        <v>12</v>
      </c>
      <c r="F239" t="s">
        <v>17</v>
      </c>
      <c r="G239">
        <v>103662</v>
      </c>
      <c r="H239">
        <v>29</v>
      </c>
      <c r="I239">
        <v>53</v>
      </c>
      <c r="J239">
        <v>3</v>
      </c>
      <c r="K239">
        <v>9</v>
      </c>
      <c r="L239" s="1">
        <v>42711</v>
      </c>
      <c r="M239" s="1">
        <v>43758</v>
      </c>
    </row>
    <row r="240" spans="1:13" x14ac:dyDescent="0.25">
      <c r="A240">
        <v>1239</v>
      </c>
      <c r="B240">
        <v>56</v>
      </c>
      <c r="C240" t="s">
        <v>31</v>
      </c>
      <c r="D240" t="s">
        <v>27</v>
      </c>
      <c r="E240" t="s">
        <v>14</v>
      </c>
      <c r="F240" t="s">
        <v>18</v>
      </c>
      <c r="G240">
        <v>87029</v>
      </c>
      <c r="H240">
        <v>22</v>
      </c>
      <c r="I240">
        <v>46</v>
      </c>
      <c r="J240">
        <v>3</v>
      </c>
      <c r="K240">
        <v>8</v>
      </c>
      <c r="L240" s="1">
        <v>44837</v>
      </c>
      <c r="M240" s="1" t="s">
        <v>9</v>
      </c>
    </row>
    <row r="241" spans="1:13" x14ac:dyDescent="0.25">
      <c r="A241">
        <v>1240</v>
      </c>
      <c r="B241">
        <v>50</v>
      </c>
      <c r="C241" t="s">
        <v>32</v>
      </c>
      <c r="D241" t="s">
        <v>23</v>
      </c>
      <c r="E241" t="s">
        <v>20</v>
      </c>
      <c r="F241" t="s">
        <v>17</v>
      </c>
      <c r="G241">
        <v>82812</v>
      </c>
      <c r="H241">
        <v>7</v>
      </c>
      <c r="I241">
        <v>59</v>
      </c>
      <c r="J241">
        <v>3</v>
      </c>
      <c r="K241">
        <v>8</v>
      </c>
      <c r="L241" s="1">
        <v>43600</v>
      </c>
      <c r="M241" s="1" t="s">
        <v>9</v>
      </c>
    </row>
    <row r="242" spans="1:13" x14ac:dyDescent="0.25">
      <c r="A242">
        <v>1241</v>
      </c>
      <c r="B242">
        <v>27</v>
      </c>
      <c r="C242" t="s">
        <v>32</v>
      </c>
      <c r="D242" t="s">
        <v>36</v>
      </c>
      <c r="E242" t="s">
        <v>20</v>
      </c>
      <c r="F242" t="s">
        <v>15</v>
      </c>
      <c r="G242">
        <v>65052</v>
      </c>
      <c r="H242">
        <v>10</v>
      </c>
      <c r="I242">
        <v>48</v>
      </c>
      <c r="J242">
        <v>1</v>
      </c>
      <c r="K242">
        <v>7</v>
      </c>
      <c r="L242" s="1">
        <v>42693</v>
      </c>
      <c r="M242" s="1">
        <v>43363</v>
      </c>
    </row>
    <row r="243" spans="1:13" x14ac:dyDescent="0.25">
      <c r="A243">
        <v>1242</v>
      </c>
      <c r="B243">
        <v>40</v>
      </c>
      <c r="C243" t="s">
        <v>31</v>
      </c>
      <c r="D243" t="s">
        <v>13</v>
      </c>
      <c r="E243" t="s">
        <v>25</v>
      </c>
      <c r="F243" t="s">
        <v>29</v>
      </c>
      <c r="G243">
        <v>70194</v>
      </c>
      <c r="H243">
        <v>2</v>
      </c>
      <c r="I243">
        <v>58</v>
      </c>
      <c r="J243">
        <v>4</v>
      </c>
      <c r="K243">
        <v>2</v>
      </c>
      <c r="L243" s="1">
        <v>44489</v>
      </c>
      <c r="M243" s="1" t="s">
        <v>9</v>
      </c>
    </row>
    <row r="244" spans="1:13" x14ac:dyDescent="0.25">
      <c r="A244">
        <v>1243</v>
      </c>
      <c r="B244">
        <v>55</v>
      </c>
      <c r="C244" t="s">
        <v>31</v>
      </c>
      <c r="D244" t="s">
        <v>22</v>
      </c>
      <c r="E244" t="s">
        <v>28</v>
      </c>
      <c r="F244" t="s">
        <v>18</v>
      </c>
      <c r="G244">
        <v>55082</v>
      </c>
      <c r="H244">
        <v>23</v>
      </c>
      <c r="I244">
        <v>51</v>
      </c>
      <c r="J244" t="s">
        <v>9</v>
      </c>
      <c r="K244">
        <v>4</v>
      </c>
      <c r="L244" s="1">
        <v>44359</v>
      </c>
      <c r="M244" s="1">
        <v>43627</v>
      </c>
    </row>
    <row r="245" spans="1:13" x14ac:dyDescent="0.25">
      <c r="A245">
        <v>1244</v>
      </c>
      <c r="B245">
        <v>24</v>
      </c>
      <c r="C245" t="s">
        <v>43</v>
      </c>
      <c r="D245" t="s">
        <v>16</v>
      </c>
      <c r="E245" t="s">
        <v>20</v>
      </c>
      <c r="F245" t="s">
        <v>18</v>
      </c>
      <c r="G245">
        <v>86528</v>
      </c>
      <c r="H245">
        <v>2</v>
      </c>
      <c r="I245">
        <v>2</v>
      </c>
      <c r="J245">
        <v>2</v>
      </c>
      <c r="K245">
        <v>9</v>
      </c>
      <c r="L245" s="1">
        <v>43543</v>
      </c>
      <c r="M245" s="1">
        <v>42714</v>
      </c>
    </row>
    <row r="246" spans="1:13" x14ac:dyDescent="0.25">
      <c r="A246">
        <v>1245</v>
      </c>
      <c r="B246">
        <v>28</v>
      </c>
      <c r="C246" t="s">
        <v>31</v>
      </c>
      <c r="D246" t="s">
        <v>22</v>
      </c>
      <c r="E246" t="s">
        <v>28</v>
      </c>
      <c r="F246" t="s">
        <v>21</v>
      </c>
      <c r="G246">
        <v>69768</v>
      </c>
      <c r="H246">
        <v>10</v>
      </c>
      <c r="I246">
        <v>56</v>
      </c>
      <c r="J246">
        <v>4</v>
      </c>
      <c r="K246">
        <v>3</v>
      </c>
      <c r="L246" s="1">
        <v>45270</v>
      </c>
      <c r="M246" s="1" t="s">
        <v>9</v>
      </c>
    </row>
    <row r="247" spans="1:13" x14ac:dyDescent="0.25">
      <c r="A247">
        <v>1246</v>
      </c>
      <c r="B247">
        <v>28</v>
      </c>
      <c r="C247" t="s">
        <v>32</v>
      </c>
      <c r="D247" t="s">
        <v>22</v>
      </c>
      <c r="E247" t="s">
        <v>28</v>
      </c>
      <c r="F247" t="s">
        <v>15</v>
      </c>
      <c r="G247">
        <v>74116</v>
      </c>
      <c r="H247">
        <v>24</v>
      </c>
      <c r="I247">
        <v>4</v>
      </c>
      <c r="J247">
        <v>4</v>
      </c>
      <c r="K247">
        <v>7</v>
      </c>
      <c r="L247" s="1">
        <v>42061</v>
      </c>
      <c r="M247" s="1" t="s">
        <v>9</v>
      </c>
    </row>
    <row r="248" spans="1:13" x14ac:dyDescent="0.25">
      <c r="A248">
        <v>1247</v>
      </c>
      <c r="B248">
        <v>36</v>
      </c>
      <c r="C248" t="s">
        <v>31</v>
      </c>
      <c r="D248" t="s">
        <v>22</v>
      </c>
      <c r="E248" t="s">
        <v>28</v>
      </c>
      <c r="F248" t="s">
        <v>21</v>
      </c>
      <c r="G248">
        <v>70725</v>
      </c>
      <c r="H248">
        <v>14</v>
      </c>
      <c r="I248">
        <v>55</v>
      </c>
      <c r="J248">
        <v>4</v>
      </c>
      <c r="K248">
        <v>8</v>
      </c>
      <c r="L248" s="1">
        <v>43195</v>
      </c>
      <c r="M248" s="1" t="s">
        <v>9</v>
      </c>
    </row>
    <row r="249" spans="1:13" x14ac:dyDescent="0.25">
      <c r="A249">
        <v>1248</v>
      </c>
      <c r="B249">
        <v>36</v>
      </c>
      <c r="C249" t="s">
        <v>37</v>
      </c>
      <c r="D249" t="s">
        <v>36</v>
      </c>
      <c r="E249" t="s">
        <v>14</v>
      </c>
      <c r="F249" t="s">
        <v>18</v>
      </c>
      <c r="G249">
        <v>93067</v>
      </c>
      <c r="H249">
        <v>20</v>
      </c>
      <c r="I249">
        <v>40</v>
      </c>
      <c r="J249">
        <v>3</v>
      </c>
      <c r="K249">
        <v>2</v>
      </c>
      <c r="L249" s="1">
        <v>42207</v>
      </c>
      <c r="M249" s="1">
        <v>43407</v>
      </c>
    </row>
    <row r="250" spans="1:13" x14ac:dyDescent="0.25">
      <c r="A250">
        <v>1249</v>
      </c>
      <c r="B250">
        <v>44</v>
      </c>
      <c r="C250" t="s">
        <v>31</v>
      </c>
      <c r="D250" t="s">
        <v>22</v>
      </c>
      <c r="E250" t="s">
        <v>14</v>
      </c>
      <c r="F250" t="s">
        <v>17</v>
      </c>
      <c r="G250">
        <v>75242</v>
      </c>
      <c r="H250">
        <v>10</v>
      </c>
      <c r="I250">
        <v>54</v>
      </c>
      <c r="J250">
        <v>5</v>
      </c>
      <c r="K250">
        <v>7</v>
      </c>
      <c r="L250" s="1">
        <v>44921</v>
      </c>
      <c r="M250" s="1">
        <v>42957</v>
      </c>
    </row>
    <row r="251" spans="1:13" x14ac:dyDescent="0.25">
      <c r="A251">
        <v>1250</v>
      </c>
      <c r="B251">
        <v>52</v>
      </c>
      <c r="C251" t="s">
        <v>32</v>
      </c>
      <c r="D251" t="s">
        <v>36</v>
      </c>
      <c r="E251" t="s">
        <v>25</v>
      </c>
      <c r="F251" t="s">
        <v>26</v>
      </c>
      <c r="G251">
        <v>92041</v>
      </c>
      <c r="H251">
        <v>18</v>
      </c>
      <c r="I251">
        <v>52</v>
      </c>
      <c r="J251">
        <v>4</v>
      </c>
      <c r="K251">
        <v>4</v>
      </c>
      <c r="L251" s="1">
        <v>43178</v>
      </c>
      <c r="M251" s="1" t="s">
        <v>9</v>
      </c>
    </row>
    <row r="252" spans="1:13" x14ac:dyDescent="0.25">
      <c r="A252">
        <v>1251</v>
      </c>
      <c r="B252">
        <v>39</v>
      </c>
      <c r="C252" t="s">
        <v>32</v>
      </c>
      <c r="D252" t="s">
        <v>23</v>
      </c>
      <c r="E252" t="s">
        <v>14</v>
      </c>
      <c r="F252" t="s">
        <v>18</v>
      </c>
      <c r="G252">
        <v>108901</v>
      </c>
      <c r="H252">
        <v>11</v>
      </c>
      <c r="I252">
        <v>23</v>
      </c>
      <c r="J252" t="s">
        <v>9</v>
      </c>
      <c r="K252">
        <v>1</v>
      </c>
      <c r="L252" s="1">
        <v>44066</v>
      </c>
      <c r="M252" s="1" t="s">
        <v>9</v>
      </c>
    </row>
    <row r="253" spans="1:13" x14ac:dyDescent="0.25">
      <c r="A253">
        <v>1252</v>
      </c>
      <c r="B253">
        <v>34</v>
      </c>
      <c r="C253" t="s">
        <v>31</v>
      </c>
      <c r="D253" t="s">
        <v>13</v>
      </c>
      <c r="E253" t="s">
        <v>14</v>
      </c>
      <c r="F253" t="s">
        <v>40</v>
      </c>
      <c r="G253">
        <v>104192</v>
      </c>
      <c r="H253">
        <v>13</v>
      </c>
      <c r="I253">
        <v>36</v>
      </c>
      <c r="J253">
        <v>5</v>
      </c>
      <c r="K253">
        <v>7</v>
      </c>
      <c r="L253" s="1">
        <v>45091</v>
      </c>
      <c r="M253" s="1">
        <v>42524</v>
      </c>
    </row>
    <row r="254" spans="1:13" x14ac:dyDescent="0.25">
      <c r="A254">
        <v>1253</v>
      </c>
      <c r="B254">
        <v>51</v>
      </c>
      <c r="C254" t="s">
        <v>32</v>
      </c>
      <c r="D254" t="s">
        <v>13</v>
      </c>
      <c r="E254" t="s">
        <v>20</v>
      </c>
      <c r="F254" t="s">
        <v>29</v>
      </c>
      <c r="G254">
        <v>49886</v>
      </c>
      <c r="H254">
        <v>30</v>
      </c>
      <c r="I254">
        <v>8</v>
      </c>
      <c r="J254" t="s">
        <v>9</v>
      </c>
      <c r="K254">
        <v>8</v>
      </c>
      <c r="L254" s="1">
        <v>44874</v>
      </c>
      <c r="M254" s="1" t="s">
        <v>9</v>
      </c>
    </row>
    <row r="255" spans="1:13" x14ac:dyDescent="0.25">
      <c r="A255">
        <v>1254</v>
      </c>
      <c r="B255">
        <v>21</v>
      </c>
      <c r="C255" t="s">
        <v>32</v>
      </c>
      <c r="D255" t="s">
        <v>27</v>
      </c>
      <c r="E255" t="s">
        <v>39</v>
      </c>
      <c r="F255" t="s">
        <v>21</v>
      </c>
      <c r="G255">
        <v>74694</v>
      </c>
      <c r="H255">
        <v>23</v>
      </c>
      <c r="I255">
        <v>46</v>
      </c>
      <c r="J255" t="s">
        <v>9</v>
      </c>
      <c r="K255">
        <v>7</v>
      </c>
      <c r="L255" s="1">
        <v>42258</v>
      </c>
      <c r="M255" s="1">
        <v>45242</v>
      </c>
    </row>
    <row r="256" spans="1:13" x14ac:dyDescent="0.25">
      <c r="A256">
        <v>1255</v>
      </c>
      <c r="B256">
        <v>32</v>
      </c>
      <c r="C256" t="s">
        <v>31</v>
      </c>
      <c r="D256" t="s">
        <v>16</v>
      </c>
      <c r="E256" t="s">
        <v>12</v>
      </c>
      <c r="F256" t="s">
        <v>21</v>
      </c>
      <c r="G256">
        <v>47194</v>
      </c>
      <c r="H256">
        <v>10</v>
      </c>
      <c r="I256">
        <v>44</v>
      </c>
      <c r="J256">
        <v>4</v>
      </c>
      <c r="K256">
        <v>4</v>
      </c>
      <c r="L256" s="1">
        <v>43160</v>
      </c>
      <c r="M256" s="1" t="s">
        <v>9</v>
      </c>
    </row>
    <row r="257" spans="1:13" x14ac:dyDescent="0.25">
      <c r="A257">
        <v>1256</v>
      </c>
      <c r="B257">
        <v>56</v>
      </c>
      <c r="C257" t="s">
        <v>31</v>
      </c>
      <c r="D257" t="s">
        <v>23</v>
      </c>
      <c r="E257" t="s">
        <v>12</v>
      </c>
      <c r="F257" t="s">
        <v>15</v>
      </c>
      <c r="G257">
        <v>87554</v>
      </c>
      <c r="H257">
        <v>23</v>
      </c>
      <c r="I257">
        <v>8</v>
      </c>
      <c r="J257">
        <v>3</v>
      </c>
      <c r="K257">
        <v>8</v>
      </c>
      <c r="L257" s="1">
        <v>45651</v>
      </c>
      <c r="M257" s="1">
        <v>45135</v>
      </c>
    </row>
    <row r="258" spans="1:13" x14ac:dyDescent="0.25">
      <c r="A258">
        <v>1257</v>
      </c>
      <c r="B258">
        <v>46</v>
      </c>
      <c r="C258" t="s">
        <v>33</v>
      </c>
      <c r="D258" t="s">
        <v>13</v>
      </c>
      <c r="E258" t="s">
        <v>41</v>
      </c>
      <c r="F258" t="s">
        <v>17</v>
      </c>
      <c r="G258">
        <v>80630</v>
      </c>
      <c r="H258">
        <v>20</v>
      </c>
      <c r="I258">
        <v>27</v>
      </c>
      <c r="J258">
        <v>1</v>
      </c>
      <c r="K258">
        <v>2</v>
      </c>
      <c r="L258" s="1">
        <v>43990</v>
      </c>
      <c r="M258" s="1">
        <v>43211</v>
      </c>
    </row>
    <row r="259" spans="1:13" x14ac:dyDescent="0.25">
      <c r="A259">
        <v>1258</v>
      </c>
      <c r="B259">
        <v>41</v>
      </c>
      <c r="C259" t="s">
        <v>31</v>
      </c>
      <c r="D259" t="s">
        <v>27</v>
      </c>
      <c r="E259" t="s">
        <v>14</v>
      </c>
      <c r="F259" t="s">
        <v>15</v>
      </c>
      <c r="G259">
        <v>73479</v>
      </c>
      <c r="H259">
        <v>18</v>
      </c>
      <c r="I259">
        <v>40</v>
      </c>
      <c r="J259">
        <v>3</v>
      </c>
      <c r="K259">
        <v>3</v>
      </c>
      <c r="L259" s="1">
        <v>44745</v>
      </c>
      <c r="M259" s="1" t="s">
        <v>9</v>
      </c>
    </row>
    <row r="260" spans="1:13" x14ac:dyDescent="0.25">
      <c r="A260">
        <v>1259</v>
      </c>
      <c r="B260">
        <v>27</v>
      </c>
      <c r="C260" t="s">
        <v>32</v>
      </c>
      <c r="D260" t="s">
        <v>22</v>
      </c>
      <c r="E260" t="s">
        <v>12</v>
      </c>
      <c r="F260" t="s">
        <v>15</v>
      </c>
      <c r="G260">
        <v>61712</v>
      </c>
      <c r="H260">
        <v>26</v>
      </c>
      <c r="I260">
        <v>11</v>
      </c>
      <c r="J260">
        <v>1</v>
      </c>
      <c r="K260">
        <v>10</v>
      </c>
      <c r="L260" s="1">
        <v>42787</v>
      </c>
      <c r="M260" s="1" t="s">
        <v>9</v>
      </c>
    </row>
    <row r="261" spans="1:13" x14ac:dyDescent="0.25">
      <c r="A261">
        <v>1260</v>
      </c>
      <c r="B261">
        <v>59</v>
      </c>
      <c r="C261" t="s">
        <v>32</v>
      </c>
      <c r="D261" t="s">
        <v>23</v>
      </c>
      <c r="E261" t="s">
        <v>28</v>
      </c>
      <c r="F261" t="s">
        <v>21</v>
      </c>
      <c r="G261">
        <v>51580</v>
      </c>
      <c r="H261">
        <v>17</v>
      </c>
      <c r="I261">
        <v>31</v>
      </c>
      <c r="J261">
        <v>3</v>
      </c>
      <c r="K261">
        <v>10</v>
      </c>
      <c r="L261" s="1">
        <v>44542</v>
      </c>
      <c r="M261" s="1">
        <v>44994</v>
      </c>
    </row>
    <row r="262" spans="1:13" x14ac:dyDescent="0.25">
      <c r="A262">
        <v>1261</v>
      </c>
      <c r="B262">
        <v>34</v>
      </c>
      <c r="C262" t="s">
        <v>43</v>
      </c>
      <c r="D262" t="s">
        <v>36</v>
      </c>
      <c r="E262" t="s">
        <v>41</v>
      </c>
      <c r="F262" t="s">
        <v>29</v>
      </c>
      <c r="G262">
        <v>62588</v>
      </c>
      <c r="H262">
        <v>19</v>
      </c>
      <c r="I262">
        <v>2</v>
      </c>
      <c r="J262">
        <v>5</v>
      </c>
      <c r="K262">
        <v>7</v>
      </c>
      <c r="L262" s="1">
        <v>43174</v>
      </c>
      <c r="M262" s="1" t="s">
        <v>9</v>
      </c>
    </row>
    <row r="263" spans="1:13" x14ac:dyDescent="0.25">
      <c r="A263">
        <v>1262</v>
      </c>
      <c r="B263">
        <v>21</v>
      </c>
      <c r="C263" t="s">
        <v>33</v>
      </c>
      <c r="D263" t="s">
        <v>23</v>
      </c>
      <c r="E263" t="s">
        <v>34</v>
      </c>
      <c r="F263" t="s">
        <v>17</v>
      </c>
      <c r="G263">
        <v>45703</v>
      </c>
      <c r="H263">
        <v>26</v>
      </c>
      <c r="I263">
        <v>4</v>
      </c>
      <c r="J263">
        <v>1</v>
      </c>
      <c r="K263">
        <v>7</v>
      </c>
      <c r="L263" s="1">
        <v>44501</v>
      </c>
      <c r="M263" s="1" t="s">
        <v>9</v>
      </c>
    </row>
    <row r="264" spans="1:13" x14ac:dyDescent="0.25">
      <c r="A264">
        <v>1263</v>
      </c>
      <c r="B264">
        <v>54</v>
      </c>
      <c r="C264" t="s">
        <v>32</v>
      </c>
      <c r="D264" t="s">
        <v>22</v>
      </c>
      <c r="E264" t="s">
        <v>12</v>
      </c>
      <c r="F264" t="s">
        <v>29</v>
      </c>
      <c r="G264">
        <v>56534</v>
      </c>
      <c r="H264">
        <v>23</v>
      </c>
      <c r="I264">
        <v>53</v>
      </c>
      <c r="J264">
        <v>2</v>
      </c>
      <c r="K264">
        <v>6</v>
      </c>
      <c r="L264" s="1">
        <v>43089</v>
      </c>
      <c r="M264" s="1" t="s">
        <v>9</v>
      </c>
    </row>
    <row r="265" spans="1:13" x14ac:dyDescent="0.25">
      <c r="A265">
        <v>1264</v>
      </c>
      <c r="B265">
        <v>57</v>
      </c>
      <c r="C265" t="s">
        <v>43</v>
      </c>
      <c r="D265" t="s">
        <v>27</v>
      </c>
      <c r="E265" t="s">
        <v>12</v>
      </c>
      <c r="F265" t="s">
        <v>40</v>
      </c>
      <c r="G265">
        <v>50828</v>
      </c>
      <c r="H265">
        <v>20</v>
      </c>
      <c r="I265">
        <v>48</v>
      </c>
      <c r="J265">
        <v>2</v>
      </c>
      <c r="K265">
        <v>1</v>
      </c>
      <c r="L265" s="1">
        <v>44364</v>
      </c>
      <c r="M265" s="1">
        <v>43416</v>
      </c>
    </row>
    <row r="266" spans="1:13" x14ac:dyDescent="0.25">
      <c r="A266">
        <v>1265</v>
      </c>
      <c r="B266">
        <v>53</v>
      </c>
      <c r="C266" t="s">
        <v>31</v>
      </c>
      <c r="D266" t="s">
        <v>13</v>
      </c>
      <c r="E266" t="s">
        <v>12</v>
      </c>
      <c r="F266" t="s">
        <v>44</v>
      </c>
      <c r="G266">
        <v>104453</v>
      </c>
      <c r="H266">
        <v>5</v>
      </c>
      <c r="I266">
        <v>42</v>
      </c>
      <c r="J266">
        <v>5</v>
      </c>
      <c r="K266">
        <v>2</v>
      </c>
      <c r="L266" s="1">
        <v>43054</v>
      </c>
      <c r="M266" s="1" t="s">
        <v>9</v>
      </c>
    </row>
    <row r="267" spans="1:13" x14ac:dyDescent="0.25">
      <c r="A267">
        <v>1266</v>
      </c>
      <c r="B267">
        <v>46</v>
      </c>
      <c r="C267" t="s">
        <v>31</v>
      </c>
      <c r="D267" t="s">
        <v>13</v>
      </c>
      <c r="E267" t="s">
        <v>14</v>
      </c>
      <c r="F267" t="s">
        <v>24</v>
      </c>
      <c r="G267">
        <v>78059</v>
      </c>
      <c r="H267">
        <v>26</v>
      </c>
      <c r="I267">
        <v>5</v>
      </c>
      <c r="J267">
        <v>1</v>
      </c>
      <c r="K267">
        <v>10</v>
      </c>
      <c r="L267" s="1">
        <v>45156</v>
      </c>
      <c r="M267" s="1" t="s">
        <v>9</v>
      </c>
    </row>
    <row r="268" spans="1:13" x14ac:dyDescent="0.25">
      <c r="A268">
        <v>1267</v>
      </c>
      <c r="B268">
        <v>25</v>
      </c>
      <c r="C268" t="s">
        <v>37</v>
      </c>
      <c r="D268" t="s">
        <v>22</v>
      </c>
      <c r="E268" t="s">
        <v>28</v>
      </c>
      <c r="F268" t="s">
        <v>26</v>
      </c>
      <c r="G268">
        <v>102854</v>
      </c>
      <c r="H268">
        <v>17</v>
      </c>
      <c r="I268">
        <v>34</v>
      </c>
      <c r="J268">
        <v>3</v>
      </c>
      <c r="K268">
        <v>2</v>
      </c>
      <c r="L268" s="1">
        <v>45360</v>
      </c>
      <c r="M268" s="1" t="s">
        <v>9</v>
      </c>
    </row>
    <row r="269" spans="1:13" x14ac:dyDescent="0.25">
      <c r="A269">
        <v>1268</v>
      </c>
      <c r="B269">
        <v>49</v>
      </c>
      <c r="C269" t="s">
        <v>31</v>
      </c>
      <c r="D269" t="s">
        <v>27</v>
      </c>
      <c r="E269" t="s">
        <v>20</v>
      </c>
      <c r="F269" t="s">
        <v>15</v>
      </c>
      <c r="G269">
        <v>95089</v>
      </c>
      <c r="H269">
        <v>19</v>
      </c>
      <c r="I269">
        <v>26</v>
      </c>
      <c r="J269">
        <v>5</v>
      </c>
      <c r="K269">
        <v>8</v>
      </c>
      <c r="L269" s="1">
        <v>43266</v>
      </c>
      <c r="M269" s="1" t="s">
        <v>9</v>
      </c>
    </row>
    <row r="270" spans="1:13" x14ac:dyDescent="0.25">
      <c r="A270">
        <v>1269</v>
      </c>
      <c r="B270">
        <v>43</v>
      </c>
      <c r="C270" t="s">
        <v>33</v>
      </c>
      <c r="D270" t="s">
        <v>16</v>
      </c>
      <c r="E270" t="s">
        <v>28</v>
      </c>
      <c r="F270" t="s">
        <v>26</v>
      </c>
      <c r="G270">
        <v>59316</v>
      </c>
      <c r="H270">
        <v>24</v>
      </c>
      <c r="I270">
        <v>50</v>
      </c>
      <c r="J270">
        <v>2</v>
      </c>
      <c r="K270">
        <v>1</v>
      </c>
      <c r="L270" s="1">
        <v>42057</v>
      </c>
      <c r="M270" s="1" t="s">
        <v>9</v>
      </c>
    </row>
    <row r="271" spans="1:13" x14ac:dyDescent="0.25">
      <c r="A271">
        <v>1270</v>
      </c>
      <c r="B271">
        <v>52</v>
      </c>
      <c r="C271" t="s">
        <v>32</v>
      </c>
      <c r="D271" t="s">
        <v>27</v>
      </c>
      <c r="E271" t="s">
        <v>12</v>
      </c>
      <c r="F271" t="s">
        <v>17</v>
      </c>
      <c r="G271">
        <v>106753</v>
      </c>
      <c r="H271">
        <v>21</v>
      </c>
      <c r="I271">
        <v>17</v>
      </c>
      <c r="J271">
        <v>2</v>
      </c>
      <c r="K271">
        <v>6</v>
      </c>
      <c r="L271" s="1">
        <v>42281</v>
      </c>
      <c r="M271" s="1" t="s">
        <v>9</v>
      </c>
    </row>
    <row r="272" spans="1:13" x14ac:dyDescent="0.25">
      <c r="A272">
        <v>1271</v>
      </c>
      <c r="B272">
        <v>48</v>
      </c>
      <c r="C272" t="s">
        <v>31</v>
      </c>
      <c r="D272" t="s">
        <v>23</v>
      </c>
      <c r="E272" t="s">
        <v>12</v>
      </c>
      <c r="F272" t="s">
        <v>42</v>
      </c>
      <c r="G272">
        <v>60634</v>
      </c>
      <c r="H272">
        <v>4</v>
      </c>
      <c r="I272">
        <v>58</v>
      </c>
      <c r="J272">
        <v>1</v>
      </c>
      <c r="K272">
        <v>6</v>
      </c>
      <c r="L272" s="1">
        <v>42212</v>
      </c>
      <c r="M272" s="1">
        <v>42680</v>
      </c>
    </row>
    <row r="273" spans="1:13" x14ac:dyDescent="0.25">
      <c r="A273">
        <v>1272</v>
      </c>
      <c r="B273">
        <v>22</v>
      </c>
      <c r="C273" t="s">
        <v>32</v>
      </c>
      <c r="D273" t="s">
        <v>16</v>
      </c>
      <c r="E273" t="s">
        <v>25</v>
      </c>
      <c r="F273" t="s">
        <v>29</v>
      </c>
      <c r="G273">
        <v>100358</v>
      </c>
      <c r="H273">
        <v>26</v>
      </c>
      <c r="I273">
        <v>18</v>
      </c>
      <c r="J273">
        <v>1</v>
      </c>
      <c r="K273">
        <v>9</v>
      </c>
      <c r="L273" s="1">
        <v>45418</v>
      </c>
      <c r="M273" s="1" t="s">
        <v>9</v>
      </c>
    </row>
    <row r="274" spans="1:13" x14ac:dyDescent="0.25">
      <c r="A274">
        <v>1273</v>
      </c>
      <c r="B274">
        <v>53</v>
      </c>
      <c r="C274" t="s">
        <v>31</v>
      </c>
      <c r="D274" t="s">
        <v>35</v>
      </c>
      <c r="E274" t="s">
        <v>41</v>
      </c>
      <c r="F274" t="s">
        <v>21</v>
      </c>
      <c r="G274">
        <v>103323</v>
      </c>
      <c r="H274">
        <v>19</v>
      </c>
      <c r="I274">
        <v>48</v>
      </c>
      <c r="J274">
        <v>2</v>
      </c>
      <c r="K274">
        <v>3</v>
      </c>
      <c r="L274" s="1">
        <v>43788</v>
      </c>
      <c r="M274" s="1" t="s">
        <v>9</v>
      </c>
    </row>
    <row r="275" spans="1:13" x14ac:dyDescent="0.25">
      <c r="A275">
        <v>1274</v>
      </c>
      <c r="B275">
        <v>26</v>
      </c>
      <c r="C275" t="s">
        <v>31</v>
      </c>
      <c r="D275" t="s">
        <v>19</v>
      </c>
      <c r="E275" t="s">
        <v>28</v>
      </c>
      <c r="F275" t="s">
        <v>15</v>
      </c>
      <c r="G275">
        <v>64597</v>
      </c>
      <c r="H275">
        <v>17</v>
      </c>
      <c r="I275">
        <v>60</v>
      </c>
      <c r="J275">
        <v>1</v>
      </c>
      <c r="K275">
        <v>8</v>
      </c>
      <c r="L275" s="1">
        <v>43867</v>
      </c>
      <c r="M275" s="1" t="s">
        <v>9</v>
      </c>
    </row>
    <row r="276" spans="1:13" x14ac:dyDescent="0.25">
      <c r="A276">
        <v>1275</v>
      </c>
      <c r="B276">
        <v>39</v>
      </c>
      <c r="C276" t="s">
        <v>43</v>
      </c>
      <c r="D276" t="s">
        <v>13</v>
      </c>
      <c r="E276" t="s">
        <v>39</v>
      </c>
      <c r="F276" t="s">
        <v>26</v>
      </c>
      <c r="G276">
        <v>47550</v>
      </c>
      <c r="H276">
        <v>11</v>
      </c>
      <c r="I276">
        <v>60</v>
      </c>
      <c r="J276">
        <v>5</v>
      </c>
      <c r="K276">
        <v>7</v>
      </c>
      <c r="L276" s="1">
        <v>42234</v>
      </c>
      <c r="M276" s="1" t="s">
        <v>9</v>
      </c>
    </row>
    <row r="277" spans="1:13" x14ac:dyDescent="0.25">
      <c r="A277">
        <v>1276</v>
      </c>
      <c r="B277">
        <v>46</v>
      </c>
      <c r="C277" t="s">
        <v>31</v>
      </c>
      <c r="D277" t="s">
        <v>13</v>
      </c>
      <c r="E277" t="s">
        <v>28</v>
      </c>
      <c r="F277" t="s">
        <v>17</v>
      </c>
      <c r="G277">
        <v>100272</v>
      </c>
      <c r="H277">
        <v>7</v>
      </c>
      <c r="I277">
        <v>6</v>
      </c>
      <c r="J277">
        <v>5</v>
      </c>
      <c r="K277">
        <v>4</v>
      </c>
      <c r="L277" s="1">
        <v>43026</v>
      </c>
      <c r="M277" s="1" t="s">
        <v>9</v>
      </c>
    </row>
    <row r="278" spans="1:13" x14ac:dyDescent="0.25">
      <c r="A278">
        <v>1277</v>
      </c>
      <c r="B278">
        <v>44</v>
      </c>
      <c r="C278" t="s">
        <v>31</v>
      </c>
      <c r="D278" t="s">
        <v>36</v>
      </c>
      <c r="E278" t="s">
        <v>39</v>
      </c>
      <c r="F278" t="s">
        <v>24</v>
      </c>
      <c r="G278">
        <v>86743</v>
      </c>
      <c r="H278">
        <v>27</v>
      </c>
      <c r="I278">
        <v>44</v>
      </c>
      <c r="J278">
        <v>1</v>
      </c>
      <c r="K278">
        <v>3</v>
      </c>
      <c r="L278" s="1">
        <v>42635</v>
      </c>
      <c r="M278" s="1" t="s">
        <v>9</v>
      </c>
    </row>
    <row r="279" spans="1:13" x14ac:dyDescent="0.25">
      <c r="A279">
        <v>1278</v>
      </c>
      <c r="B279">
        <v>27</v>
      </c>
      <c r="C279" t="s">
        <v>32</v>
      </c>
      <c r="D279" t="s">
        <v>16</v>
      </c>
      <c r="E279" t="s">
        <v>25</v>
      </c>
      <c r="F279" t="s">
        <v>24</v>
      </c>
      <c r="G279">
        <v>75940</v>
      </c>
      <c r="H279">
        <v>17</v>
      </c>
      <c r="I279">
        <v>8</v>
      </c>
      <c r="J279">
        <v>2</v>
      </c>
      <c r="K279">
        <v>9</v>
      </c>
      <c r="L279" s="1">
        <v>43350</v>
      </c>
      <c r="M279" s="1">
        <v>45405</v>
      </c>
    </row>
    <row r="280" spans="1:13" x14ac:dyDescent="0.25">
      <c r="A280">
        <v>1279</v>
      </c>
      <c r="B280">
        <v>34</v>
      </c>
      <c r="C280" t="s">
        <v>31</v>
      </c>
      <c r="D280" t="s">
        <v>38</v>
      </c>
      <c r="E280" t="s">
        <v>25</v>
      </c>
      <c r="F280" t="s">
        <v>18</v>
      </c>
      <c r="G280">
        <v>59166</v>
      </c>
      <c r="H280">
        <v>28</v>
      </c>
      <c r="I280">
        <v>23</v>
      </c>
      <c r="J280">
        <v>1</v>
      </c>
      <c r="K280">
        <v>8</v>
      </c>
      <c r="L280" s="1">
        <v>45525</v>
      </c>
      <c r="M280" s="1">
        <v>42996</v>
      </c>
    </row>
    <row r="281" spans="1:13" x14ac:dyDescent="0.25">
      <c r="A281">
        <v>1280</v>
      </c>
      <c r="B281">
        <v>41</v>
      </c>
      <c r="C281" t="s">
        <v>31</v>
      </c>
      <c r="D281" t="s">
        <v>35</v>
      </c>
      <c r="E281" t="s">
        <v>12</v>
      </c>
      <c r="F281" t="s">
        <v>18</v>
      </c>
      <c r="G281">
        <v>89449</v>
      </c>
      <c r="H281">
        <v>8</v>
      </c>
      <c r="I281">
        <v>21</v>
      </c>
      <c r="J281">
        <v>4</v>
      </c>
      <c r="K281">
        <v>6</v>
      </c>
      <c r="L281" s="1">
        <v>43257</v>
      </c>
      <c r="M281" s="1" t="s">
        <v>9</v>
      </c>
    </row>
    <row r="282" spans="1:13" x14ac:dyDescent="0.25">
      <c r="A282">
        <v>1281</v>
      </c>
      <c r="B282">
        <v>35</v>
      </c>
      <c r="C282" t="s">
        <v>32</v>
      </c>
      <c r="D282" t="s">
        <v>38</v>
      </c>
      <c r="E282" t="s">
        <v>41</v>
      </c>
      <c r="F282" t="s">
        <v>42</v>
      </c>
      <c r="G282">
        <v>49495</v>
      </c>
      <c r="H282">
        <v>28</v>
      </c>
      <c r="I282">
        <v>32</v>
      </c>
      <c r="J282">
        <v>3</v>
      </c>
      <c r="K282">
        <v>1</v>
      </c>
      <c r="L282" s="1">
        <v>44369</v>
      </c>
      <c r="M282" s="1" t="s">
        <v>9</v>
      </c>
    </row>
    <row r="283" spans="1:13" x14ac:dyDescent="0.25">
      <c r="A283">
        <v>1282</v>
      </c>
      <c r="B283">
        <v>40</v>
      </c>
      <c r="C283" t="s">
        <v>32</v>
      </c>
      <c r="D283" t="s">
        <v>13</v>
      </c>
      <c r="E283" t="s">
        <v>25</v>
      </c>
      <c r="F283" t="s">
        <v>40</v>
      </c>
      <c r="G283">
        <v>103287</v>
      </c>
      <c r="H283">
        <v>15</v>
      </c>
      <c r="I283">
        <v>0</v>
      </c>
      <c r="J283">
        <v>1</v>
      </c>
      <c r="K283">
        <v>3</v>
      </c>
      <c r="L283" s="1">
        <v>42205</v>
      </c>
      <c r="M283" s="1" t="s">
        <v>9</v>
      </c>
    </row>
    <row r="284" spans="1:13" x14ac:dyDescent="0.25">
      <c r="A284">
        <v>1283</v>
      </c>
      <c r="B284">
        <v>60</v>
      </c>
      <c r="C284" t="s">
        <v>33</v>
      </c>
      <c r="D284" t="s">
        <v>35</v>
      </c>
      <c r="E284" t="s">
        <v>34</v>
      </c>
      <c r="F284" t="s">
        <v>15</v>
      </c>
      <c r="G284">
        <v>85818</v>
      </c>
      <c r="H284">
        <v>23</v>
      </c>
      <c r="I284">
        <v>26</v>
      </c>
      <c r="J284">
        <v>5</v>
      </c>
      <c r="K284">
        <v>9</v>
      </c>
      <c r="L284" s="1">
        <v>44331</v>
      </c>
      <c r="M284" s="1">
        <v>43203</v>
      </c>
    </row>
    <row r="285" spans="1:13" x14ac:dyDescent="0.25">
      <c r="A285">
        <v>1284</v>
      </c>
      <c r="B285">
        <v>57</v>
      </c>
      <c r="C285" t="s">
        <v>43</v>
      </c>
      <c r="D285" t="s">
        <v>13</v>
      </c>
      <c r="E285" t="s">
        <v>20</v>
      </c>
      <c r="F285" t="s">
        <v>40</v>
      </c>
      <c r="G285">
        <v>90509</v>
      </c>
      <c r="H285">
        <v>16</v>
      </c>
      <c r="I285">
        <v>34</v>
      </c>
      <c r="J285">
        <v>2</v>
      </c>
      <c r="K285">
        <v>4</v>
      </c>
      <c r="L285" s="1">
        <v>43993</v>
      </c>
      <c r="M285" s="1" t="s">
        <v>9</v>
      </c>
    </row>
    <row r="286" spans="1:13" x14ac:dyDescent="0.25">
      <c r="A286">
        <v>1285</v>
      </c>
      <c r="B286">
        <v>41</v>
      </c>
      <c r="C286" t="s">
        <v>31</v>
      </c>
      <c r="D286" t="s">
        <v>13</v>
      </c>
      <c r="E286" t="s">
        <v>41</v>
      </c>
      <c r="F286" t="s">
        <v>26</v>
      </c>
      <c r="G286">
        <v>75195</v>
      </c>
      <c r="H286">
        <v>25</v>
      </c>
      <c r="I286">
        <v>55</v>
      </c>
      <c r="J286">
        <v>1</v>
      </c>
      <c r="K286">
        <v>5</v>
      </c>
      <c r="L286" s="1">
        <v>44216</v>
      </c>
      <c r="M286" s="1" t="s">
        <v>9</v>
      </c>
    </row>
    <row r="287" spans="1:13" x14ac:dyDescent="0.25">
      <c r="A287">
        <v>1286</v>
      </c>
      <c r="B287">
        <v>60</v>
      </c>
      <c r="C287" t="s">
        <v>31</v>
      </c>
      <c r="D287" t="s">
        <v>13</v>
      </c>
      <c r="E287" t="s">
        <v>14</v>
      </c>
      <c r="F287" t="s">
        <v>21</v>
      </c>
      <c r="G287">
        <v>46220</v>
      </c>
      <c r="H287">
        <v>27</v>
      </c>
      <c r="I287">
        <v>26</v>
      </c>
      <c r="J287">
        <v>4</v>
      </c>
      <c r="K287">
        <v>3</v>
      </c>
      <c r="L287" s="1">
        <v>45606</v>
      </c>
      <c r="M287" s="1" t="s">
        <v>9</v>
      </c>
    </row>
    <row r="288" spans="1:13" x14ac:dyDescent="0.25">
      <c r="A288">
        <v>1287</v>
      </c>
      <c r="B288">
        <v>59</v>
      </c>
      <c r="C288" t="s">
        <v>31</v>
      </c>
      <c r="D288" t="s">
        <v>16</v>
      </c>
      <c r="E288" t="s">
        <v>34</v>
      </c>
      <c r="F288" t="s">
        <v>42</v>
      </c>
      <c r="G288">
        <v>93583</v>
      </c>
      <c r="H288">
        <v>11</v>
      </c>
      <c r="I288">
        <v>49</v>
      </c>
      <c r="J288">
        <v>1</v>
      </c>
      <c r="K288">
        <v>9</v>
      </c>
      <c r="L288" s="1">
        <v>45386</v>
      </c>
      <c r="M288" s="1" t="s">
        <v>9</v>
      </c>
    </row>
    <row r="289" spans="1:13" x14ac:dyDescent="0.25">
      <c r="A289">
        <v>1288</v>
      </c>
      <c r="B289">
        <v>29</v>
      </c>
      <c r="C289" t="s">
        <v>33</v>
      </c>
      <c r="D289" t="s">
        <v>19</v>
      </c>
      <c r="E289" t="s">
        <v>20</v>
      </c>
      <c r="F289" t="s">
        <v>40</v>
      </c>
      <c r="G289">
        <v>93815</v>
      </c>
      <c r="H289">
        <v>11</v>
      </c>
      <c r="I289">
        <v>5</v>
      </c>
      <c r="J289">
        <v>3</v>
      </c>
      <c r="K289">
        <v>8</v>
      </c>
      <c r="L289" s="1">
        <v>44003</v>
      </c>
      <c r="M289" s="1" t="s">
        <v>9</v>
      </c>
    </row>
    <row r="290" spans="1:13" x14ac:dyDescent="0.25">
      <c r="A290">
        <v>1289</v>
      </c>
      <c r="B290">
        <v>21</v>
      </c>
      <c r="C290" t="s">
        <v>32</v>
      </c>
      <c r="D290" t="s">
        <v>22</v>
      </c>
      <c r="E290" t="s">
        <v>28</v>
      </c>
      <c r="F290" t="s">
        <v>21</v>
      </c>
      <c r="G290">
        <v>54281</v>
      </c>
      <c r="H290">
        <v>18</v>
      </c>
      <c r="I290">
        <v>54</v>
      </c>
      <c r="J290">
        <v>5</v>
      </c>
      <c r="K290">
        <v>4</v>
      </c>
      <c r="L290" s="1">
        <v>43520</v>
      </c>
      <c r="M290" s="1" t="s">
        <v>9</v>
      </c>
    </row>
    <row r="291" spans="1:13" x14ac:dyDescent="0.25">
      <c r="A291">
        <v>1290</v>
      </c>
      <c r="B291">
        <v>34</v>
      </c>
      <c r="C291" t="s">
        <v>43</v>
      </c>
      <c r="D291" t="s">
        <v>13</v>
      </c>
      <c r="E291" t="s">
        <v>20</v>
      </c>
      <c r="F291" t="s">
        <v>29</v>
      </c>
      <c r="G291">
        <v>84873</v>
      </c>
      <c r="H291">
        <v>11</v>
      </c>
      <c r="I291">
        <v>33</v>
      </c>
      <c r="J291">
        <v>3</v>
      </c>
      <c r="K291">
        <v>7</v>
      </c>
      <c r="L291" s="1">
        <v>44757</v>
      </c>
      <c r="M291" s="1">
        <v>45295</v>
      </c>
    </row>
    <row r="292" spans="1:13" x14ac:dyDescent="0.25">
      <c r="A292">
        <v>1291</v>
      </c>
      <c r="B292">
        <v>26</v>
      </c>
      <c r="C292" t="s">
        <v>32</v>
      </c>
      <c r="D292" t="s">
        <v>16</v>
      </c>
      <c r="E292" t="s">
        <v>41</v>
      </c>
      <c r="F292" t="s">
        <v>40</v>
      </c>
      <c r="G292">
        <v>67831</v>
      </c>
      <c r="H292">
        <v>9</v>
      </c>
      <c r="I292">
        <v>6</v>
      </c>
      <c r="J292">
        <v>1</v>
      </c>
      <c r="K292">
        <v>4</v>
      </c>
      <c r="L292" s="1">
        <v>43405</v>
      </c>
      <c r="M292" s="1" t="s">
        <v>9</v>
      </c>
    </row>
    <row r="293" spans="1:13" x14ac:dyDescent="0.25">
      <c r="A293">
        <v>1292</v>
      </c>
      <c r="B293">
        <v>47</v>
      </c>
      <c r="C293" t="s">
        <v>37</v>
      </c>
      <c r="D293" t="s">
        <v>23</v>
      </c>
      <c r="E293" t="s">
        <v>14</v>
      </c>
      <c r="F293" t="s">
        <v>24</v>
      </c>
      <c r="G293">
        <v>82658</v>
      </c>
      <c r="H293">
        <v>26</v>
      </c>
      <c r="I293">
        <v>1</v>
      </c>
      <c r="J293">
        <v>3</v>
      </c>
      <c r="K293">
        <v>4</v>
      </c>
      <c r="L293" s="1">
        <v>45207</v>
      </c>
      <c r="M293" s="1" t="s">
        <v>9</v>
      </c>
    </row>
    <row r="294" spans="1:13" x14ac:dyDescent="0.25">
      <c r="A294">
        <v>1293</v>
      </c>
      <c r="B294">
        <v>23</v>
      </c>
      <c r="C294" t="s">
        <v>31</v>
      </c>
      <c r="D294" t="s">
        <v>35</v>
      </c>
      <c r="E294" t="s">
        <v>14</v>
      </c>
      <c r="F294" t="s">
        <v>18</v>
      </c>
      <c r="G294">
        <v>68292</v>
      </c>
      <c r="H294">
        <v>11</v>
      </c>
      <c r="I294">
        <v>40</v>
      </c>
      <c r="J294" t="s">
        <v>9</v>
      </c>
      <c r="K294">
        <v>3</v>
      </c>
      <c r="L294" s="1">
        <v>42402</v>
      </c>
      <c r="M294" s="1" t="s">
        <v>9</v>
      </c>
    </row>
    <row r="295" spans="1:13" x14ac:dyDescent="0.25">
      <c r="A295">
        <v>1294</v>
      </c>
      <c r="B295">
        <v>54</v>
      </c>
      <c r="C295" t="s">
        <v>31</v>
      </c>
      <c r="D295" t="s">
        <v>23</v>
      </c>
      <c r="E295" t="s">
        <v>20</v>
      </c>
      <c r="F295" t="s">
        <v>24</v>
      </c>
      <c r="G295">
        <v>47570</v>
      </c>
      <c r="H295">
        <v>10</v>
      </c>
      <c r="I295">
        <v>47</v>
      </c>
      <c r="J295" t="s">
        <v>9</v>
      </c>
      <c r="K295">
        <v>3</v>
      </c>
      <c r="L295" s="1">
        <v>44927</v>
      </c>
      <c r="M295" s="1">
        <v>44716</v>
      </c>
    </row>
    <row r="296" spans="1:13" x14ac:dyDescent="0.25">
      <c r="A296">
        <v>1295</v>
      </c>
      <c r="B296">
        <v>22</v>
      </c>
      <c r="C296" t="s">
        <v>32</v>
      </c>
      <c r="D296" t="s">
        <v>19</v>
      </c>
      <c r="E296" t="s">
        <v>14</v>
      </c>
      <c r="F296" t="s">
        <v>24</v>
      </c>
      <c r="G296">
        <v>108704</v>
      </c>
      <c r="H296">
        <v>15</v>
      </c>
      <c r="I296">
        <v>18</v>
      </c>
      <c r="J296" t="s">
        <v>9</v>
      </c>
      <c r="K296">
        <v>4</v>
      </c>
      <c r="L296" s="1">
        <v>45651</v>
      </c>
      <c r="M296" s="1">
        <v>45497</v>
      </c>
    </row>
    <row r="297" spans="1:13" x14ac:dyDescent="0.25">
      <c r="A297">
        <v>1296</v>
      </c>
      <c r="B297">
        <v>32</v>
      </c>
      <c r="C297" t="s">
        <v>31</v>
      </c>
      <c r="D297" t="s">
        <v>19</v>
      </c>
      <c r="E297" t="s">
        <v>14</v>
      </c>
      <c r="F297" t="s">
        <v>17</v>
      </c>
      <c r="G297">
        <v>72446</v>
      </c>
      <c r="H297">
        <v>4</v>
      </c>
      <c r="I297">
        <v>15</v>
      </c>
      <c r="J297">
        <v>2</v>
      </c>
      <c r="K297">
        <v>8</v>
      </c>
      <c r="L297" s="1">
        <v>43875</v>
      </c>
      <c r="M297" s="1">
        <v>44856</v>
      </c>
    </row>
    <row r="298" spans="1:13" x14ac:dyDescent="0.25">
      <c r="A298">
        <v>1297</v>
      </c>
      <c r="B298">
        <v>21</v>
      </c>
      <c r="C298" t="s">
        <v>32</v>
      </c>
      <c r="D298" t="s">
        <v>16</v>
      </c>
      <c r="E298" t="s">
        <v>20</v>
      </c>
      <c r="F298" t="s">
        <v>26</v>
      </c>
      <c r="G298">
        <v>104043</v>
      </c>
      <c r="H298">
        <v>7</v>
      </c>
      <c r="I298">
        <v>6</v>
      </c>
      <c r="J298">
        <v>5</v>
      </c>
      <c r="K298">
        <v>6</v>
      </c>
      <c r="L298" s="1">
        <v>45644</v>
      </c>
      <c r="M298" s="1" t="s">
        <v>9</v>
      </c>
    </row>
    <row r="299" spans="1:13" x14ac:dyDescent="0.25">
      <c r="A299">
        <v>1298</v>
      </c>
      <c r="B299">
        <v>58</v>
      </c>
      <c r="C299" t="s">
        <v>33</v>
      </c>
      <c r="D299" t="s">
        <v>23</v>
      </c>
      <c r="E299" t="s">
        <v>39</v>
      </c>
      <c r="F299" t="s">
        <v>17</v>
      </c>
      <c r="G299">
        <v>46414</v>
      </c>
      <c r="H299">
        <v>28</v>
      </c>
      <c r="I299">
        <v>4</v>
      </c>
      <c r="J299" t="s">
        <v>9</v>
      </c>
      <c r="K299">
        <v>10</v>
      </c>
      <c r="L299" s="1">
        <v>43173</v>
      </c>
      <c r="M299" s="1" t="s">
        <v>9</v>
      </c>
    </row>
    <row r="300" spans="1:13" x14ac:dyDescent="0.25">
      <c r="A300">
        <v>1299</v>
      </c>
      <c r="B300">
        <v>42</v>
      </c>
      <c r="C300" t="s">
        <v>33</v>
      </c>
      <c r="D300" t="s">
        <v>35</v>
      </c>
      <c r="E300" t="s">
        <v>28</v>
      </c>
      <c r="F300" t="s">
        <v>24</v>
      </c>
      <c r="G300">
        <v>51296</v>
      </c>
      <c r="H300">
        <v>22</v>
      </c>
      <c r="I300">
        <v>0</v>
      </c>
      <c r="J300" t="s">
        <v>9</v>
      </c>
      <c r="K300">
        <v>5</v>
      </c>
      <c r="L300" s="1">
        <v>44598</v>
      </c>
      <c r="M300" s="1">
        <v>44537</v>
      </c>
    </row>
    <row r="301" spans="1:13" x14ac:dyDescent="0.25">
      <c r="A301">
        <v>1300</v>
      </c>
      <c r="B301">
        <v>34</v>
      </c>
      <c r="C301" t="s">
        <v>31</v>
      </c>
      <c r="D301" t="s">
        <v>16</v>
      </c>
      <c r="E301" t="s">
        <v>39</v>
      </c>
      <c r="F301" t="s">
        <v>21</v>
      </c>
      <c r="G301">
        <v>87283</v>
      </c>
      <c r="H301">
        <v>8</v>
      </c>
      <c r="I301">
        <v>6</v>
      </c>
      <c r="J301">
        <v>5</v>
      </c>
      <c r="K301">
        <v>7</v>
      </c>
      <c r="L301" s="1">
        <v>43270</v>
      </c>
      <c r="M301" s="1" t="s">
        <v>9</v>
      </c>
    </row>
    <row r="302" spans="1:13" x14ac:dyDescent="0.25">
      <c r="A302">
        <v>1301</v>
      </c>
      <c r="B302">
        <v>24</v>
      </c>
      <c r="C302" t="s">
        <v>32</v>
      </c>
      <c r="D302" t="s">
        <v>22</v>
      </c>
      <c r="E302" t="s">
        <v>25</v>
      </c>
      <c r="F302" t="s">
        <v>26</v>
      </c>
      <c r="G302">
        <v>84931</v>
      </c>
      <c r="H302">
        <v>24</v>
      </c>
      <c r="I302">
        <v>49</v>
      </c>
      <c r="J302">
        <v>4</v>
      </c>
      <c r="K302">
        <v>7</v>
      </c>
      <c r="L302" s="1">
        <v>42451</v>
      </c>
      <c r="M302" s="1" t="s">
        <v>9</v>
      </c>
    </row>
    <row r="303" spans="1:13" x14ac:dyDescent="0.25">
      <c r="A303">
        <v>1302</v>
      </c>
      <c r="B303">
        <v>39</v>
      </c>
      <c r="C303" t="s">
        <v>31</v>
      </c>
      <c r="D303" t="s">
        <v>19</v>
      </c>
      <c r="E303" t="s">
        <v>14</v>
      </c>
      <c r="F303" t="s">
        <v>44</v>
      </c>
      <c r="G303">
        <v>101756</v>
      </c>
      <c r="H303">
        <v>17</v>
      </c>
      <c r="I303">
        <v>38</v>
      </c>
      <c r="J303">
        <v>3</v>
      </c>
      <c r="K303">
        <v>4</v>
      </c>
      <c r="L303" s="1">
        <v>43564</v>
      </c>
      <c r="M303" s="1" t="s">
        <v>9</v>
      </c>
    </row>
    <row r="304" spans="1:13" x14ac:dyDescent="0.25">
      <c r="A304">
        <v>1303</v>
      </c>
      <c r="B304">
        <v>49</v>
      </c>
      <c r="C304" t="s">
        <v>31</v>
      </c>
      <c r="D304" t="s">
        <v>23</v>
      </c>
      <c r="E304" t="s">
        <v>34</v>
      </c>
      <c r="F304" t="s">
        <v>15</v>
      </c>
      <c r="G304">
        <v>59765</v>
      </c>
      <c r="H304">
        <v>6</v>
      </c>
      <c r="I304">
        <v>51</v>
      </c>
      <c r="J304" t="s">
        <v>9</v>
      </c>
      <c r="K304">
        <v>10</v>
      </c>
      <c r="L304" s="1">
        <v>44887</v>
      </c>
      <c r="M304" s="1" t="s">
        <v>9</v>
      </c>
    </row>
    <row r="305" spans="1:13" x14ac:dyDescent="0.25">
      <c r="A305">
        <v>1304</v>
      </c>
      <c r="B305">
        <v>48</v>
      </c>
      <c r="C305" t="s">
        <v>43</v>
      </c>
      <c r="D305" t="s">
        <v>35</v>
      </c>
      <c r="E305" t="s">
        <v>25</v>
      </c>
      <c r="F305" t="s">
        <v>29</v>
      </c>
      <c r="G305">
        <v>71692</v>
      </c>
      <c r="H305">
        <v>18</v>
      </c>
      <c r="I305">
        <v>55</v>
      </c>
      <c r="J305">
        <v>1</v>
      </c>
      <c r="K305">
        <v>5</v>
      </c>
      <c r="L305" s="1">
        <v>45275</v>
      </c>
      <c r="M305" s="1">
        <v>43983</v>
      </c>
    </row>
    <row r="306" spans="1:13" x14ac:dyDescent="0.25">
      <c r="A306">
        <v>1305</v>
      </c>
      <c r="B306">
        <v>36</v>
      </c>
      <c r="C306" t="s">
        <v>31</v>
      </c>
      <c r="D306" t="s">
        <v>13</v>
      </c>
      <c r="E306" t="s">
        <v>14</v>
      </c>
      <c r="F306" t="s">
        <v>15</v>
      </c>
      <c r="G306">
        <v>94524</v>
      </c>
      <c r="H306">
        <v>9</v>
      </c>
      <c r="I306">
        <v>2</v>
      </c>
      <c r="J306">
        <v>4</v>
      </c>
      <c r="K306">
        <v>5</v>
      </c>
      <c r="L306" s="1">
        <v>45654</v>
      </c>
      <c r="M306" s="1">
        <v>42506</v>
      </c>
    </row>
    <row r="307" spans="1:13" x14ac:dyDescent="0.25">
      <c r="A307">
        <v>1306</v>
      </c>
      <c r="B307">
        <v>38</v>
      </c>
      <c r="C307" t="s">
        <v>31</v>
      </c>
      <c r="D307" t="s">
        <v>38</v>
      </c>
      <c r="E307" t="s">
        <v>12</v>
      </c>
      <c r="F307" t="s">
        <v>26</v>
      </c>
      <c r="G307">
        <v>47887</v>
      </c>
      <c r="H307">
        <v>10</v>
      </c>
      <c r="I307">
        <v>17</v>
      </c>
      <c r="J307">
        <v>2</v>
      </c>
      <c r="K307">
        <v>4</v>
      </c>
      <c r="L307" s="1">
        <v>43375</v>
      </c>
      <c r="M307" s="1" t="s">
        <v>9</v>
      </c>
    </row>
    <row r="308" spans="1:13" x14ac:dyDescent="0.25">
      <c r="A308">
        <v>1307</v>
      </c>
      <c r="B308">
        <v>51</v>
      </c>
      <c r="C308" t="s">
        <v>33</v>
      </c>
      <c r="D308" t="s">
        <v>13</v>
      </c>
      <c r="E308" t="s">
        <v>20</v>
      </c>
      <c r="F308" t="s">
        <v>18</v>
      </c>
      <c r="G308">
        <v>107484</v>
      </c>
      <c r="H308">
        <v>29</v>
      </c>
      <c r="I308">
        <v>11</v>
      </c>
      <c r="J308" t="s">
        <v>9</v>
      </c>
      <c r="K308">
        <v>5</v>
      </c>
      <c r="L308" s="1">
        <v>44204</v>
      </c>
      <c r="M308" s="1" t="s">
        <v>9</v>
      </c>
    </row>
    <row r="309" spans="1:13" x14ac:dyDescent="0.25">
      <c r="A309">
        <v>1308</v>
      </c>
      <c r="B309">
        <v>30</v>
      </c>
      <c r="C309" t="s">
        <v>32</v>
      </c>
      <c r="D309" t="s">
        <v>23</v>
      </c>
      <c r="E309" t="s">
        <v>34</v>
      </c>
      <c r="F309" t="s">
        <v>29</v>
      </c>
      <c r="G309">
        <v>93642</v>
      </c>
      <c r="H309">
        <v>22</v>
      </c>
      <c r="I309">
        <v>32</v>
      </c>
      <c r="J309">
        <v>5</v>
      </c>
      <c r="K309">
        <v>7</v>
      </c>
      <c r="L309" s="1">
        <v>44175</v>
      </c>
      <c r="M309" s="1" t="s">
        <v>9</v>
      </c>
    </row>
    <row r="310" spans="1:13" x14ac:dyDescent="0.25">
      <c r="A310">
        <v>1309</v>
      </c>
      <c r="B310">
        <v>45</v>
      </c>
      <c r="C310" t="s">
        <v>43</v>
      </c>
      <c r="D310" t="s">
        <v>27</v>
      </c>
      <c r="E310" t="s">
        <v>25</v>
      </c>
      <c r="F310" t="s">
        <v>21</v>
      </c>
      <c r="G310">
        <v>107346</v>
      </c>
      <c r="H310">
        <v>12</v>
      </c>
      <c r="I310">
        <v>53</v>
      </c>
      <c r="J310">
        <v>4</v>
      </c>
      <c r="K310">
        <v>1</v>
      </c>
      <c r="L310" s="1">
        <v>43549</v>
      </c>
      <c r="M310" s="1">
        <v>42739</v>
      </c>
    </row>
    <row r="311" spans="1:13" x14ac:dyDescent="0.25">
      <c r="A311">
        <v>1310</v>
      </c>
      <c r="B311">
        <v>50</v>
      </c>
      <c r="C311" t="s">
        <v>32</v>
      </c>
      <c r="D311" t="s">
        <v>13</v>
      </c>
      <c r="E311" t="s">
        <v>20</v>
      </c>
      <c r="F311" t="s">
        <v>21</v>
      </c>
      <c r="G311">
        <v>54506</v>
      </c>
      <c r="H311">
        <v>22</v>
      </c>
      <c r="I311">
        <v>57</v>
      </c>
      <c r="J311">
        <v>5</v>
      </c>
      <c r="K311">
        <v>8</v>
      </c>
      <c r="L311" s="1">
        <v>42061</v>
      </c>
      <c r="M311" s="1">
        <v>45416</v>
      </c>
    </row>
    <row r="312" spans="1:13" x14ac:dyDescent="0.25">
      <c r="A312">
        <v>1311</v>
      </c>
      <c r="B312">
        <v>29</v>
      </c>
      <c r="C312" t="s">
        <v>32</v>
      </c>
      <c r="D312" t="s">
        <v>27</v>
      </c>
      <c r="E312" t="s">
        <v>12</v>
      </c>
      <c r="F312" t="s">
        <v>18</v>
      </c>
      <c r="G312">
        <v>60753</v>
      </c>
      <c r="H312">
        <v>5</v>
      </c>
      <c r="I312">
        <v>0</v>
      </c>
      <c r="J312" t="s">
        <v>9</v>
      </c>
      <c r="K312">
        <v>3</v>
      </c>
      <c r="L312" s="1">
        <v>42749</v>
      </c>
      <c r="M312" s="1" t="s">
        <v>9</v>
      </c>
    </row>
    <row r="313" spans="1:13" x14ac:dyDescent="0.25">
      <c r="A313">
        <v>1312</v>
      </c>
      <c r="B313">
        <v>28</v>
      </c>
      <c r="C313" t="s">
        <v>32</v>
      </c>
      <c r="D313" t="s">
        <v>19</v>
      </c>
      <c r="E313" t="s">
        <v>25</v>
      </c>
      <c r="F313" t="s">
        <v>15</v>
      </c>
      <c r="G313">
        <v>49691</v>
      </c>
      <c r="H313">
        <v>26</v>
      </c>
      <c r="I313">
        <v>11</v>
      </c>
      <c r="J313">
        <v>3</v>
      </c>
      <c r="K313">
        <v>6</v>
      </c>
      <c r="L313" s="1">
        <v>45048</v>
      </c>
      <c r="M313" s="1" t="s">
        <v>9</v>
      </c>
    </row>
    <row r="314" spans="1:13" x14ac:dyDescent="0.25">
      <c r="A314">
        <v>1313</v>
      </c>
      <c r="B314">
        <v>29</v>
      </c>
      <c r="C314" t="s">
        <v>32</v>
      </c>
      <c r="D314" t="s">
        <v>13</v>
      </c>
      <c r="E314" t="s">
        <v>25</v>
      </c>
      <c r="F314" t="s">
        <v>15</v>
      </c>
      <c r="G314">
        <v>80942</v>
      </c>
      <c r="H314">
        <v>6</v>
      </c>
      <c r="I314">
        <v>60</v>
      </c>
      <c r="J314">
        <v>4</v>
      </c>
      <c r="K314">
        <v>4</v>
      </c>
      <c r="L314" s="1">
        <v>43876</v>
      </c>
      <c r="M314" s="1" t="s">
        <v>9</v>
      </c>
    </row>
    <row r="315" spans="1:13" x14ac:dyDescent="0.25">
      <c r="A315">
        <v>1314</v>
      </c>
      <c r="B315">
        <v>40</v>
      </c>
      <c r="C315" t="s">
        <v>31</v>
      </c>
      <c r="D315" t="s">
        <v>27</v>
      </c>
      <c r="E315" t="s">
        <v>41</v>
      </c>
      <c r="F315" t="s">
        <v>18</v>
      </c>
      <c r="G315">
        <v>98599</v>
      </c>
      <c r="H315">
        <v>15</v>
      </c>
      <c r="I315">
        <v>1</v>
      </c>
      <c r="J315">
        <v>5</v>
      </c>
      <c r="K315">
        <v>4</v>
      </c>
      <c r="L315" s="1">
        <v>43600</v>
      </c>
      <c r="M315" s="1" t="s">
        <v>9</v>
      </c>
    </row>
    <row r="316" spans="1:13" x14ac:dyDescent="0.25">
      <c r="A316">
        <v>1315</v>
      </c>
      <c r="B316">
        <v>43</v>
      </c>
      <c r="C316" t="s">
        <v>32</v>
      </c>
      <c r="D316" t="s">
        <v>23</v>
      </c>
      <c r="E316" t="s">
        <v>25</v>
      </c>
      <c r="F316" t="s">
        <v>26</v>
      </c>
      <c r="G316">
        <v>53064</v>
      </c>
      <c r="H316">
        <v>30</v>
      </c>
      <c r="I316">
        <v>37</v>
      </c>
      <c r="J316">
        <v>5</v>
      </c>
      <c r="K316">
        <v>8</v>
      </c>
      <c r="L316" s="1">
        <v>45231</v>
      </c>
      <c r="M316" s="1">
        <v>42896</v>
      </c>
    </row>
    <row r="317" spans="1:13" x14ac:dyDescent="0.25">
      <c r="A317">
        <v>1316</v>
      </c>
      <c r="B317">
        <v>55</v>
      </c>
      <c r="C317" t="s">
        <v>32</v>
      </c>
      <c r="D317" t="s">
        <v>23</v>
      </c>
      <c r="E317" t="s">
        <v>12</v>
      </c>
      <c r="F317" t="s">
        <v>24</v>
      </c>
      <c r="G317">
        <v>84188</v>
      </c>
      <c r="H317">
        <v>29</v>
      </c>
      <c r="I317">
        <v>9</v>
      </c>
      <c r="J317">
        <v>4</v>
      </c>
      <c r="K317">
        <v>9</v>
      </c>
      <c r="L317" s="1">
        <v>45445</v>
      </c>
      <c r="M317" s="1" t="s">
        <v>9</v>
      </c>
    </row>
    <row r="318" spans="1:13" x14ac:dyDescent="0.25">
      <c r="A318">
        <v>1317</v>
      </c>
      <c r="B318">
        <v>51</v>
      </c>
      <c r="C318" t="s">
        <v>31</v>
      </c>
      <c r="D318" t="s">
        <v>19</v>
      </c>
      <c r="E318" t="s">
        <v>25</v>
      </c>
      <c r="F318" t="s">
        <v>42</v>
      </c>
      <c r="G318">
        <v>93293</v>
      </c>
      <c r="H318">
        <v>30</v>
      </c>
      <c r="I318">
        <v>29</v>
      </c>
      <c r="J318">
        <v>1</v>
      </c>
      <c r="K318">
        <v>5</v>
      </c>
      <c r="L318" s="1">
        <v>44970</v>
      </c>
      <c r="M318" s="1" t="s">
        <v>9</v>
      </c>
    </row>
    <row r="319" spans="1:13" x14ac:dyDescent="0.25">
      <c r="A319">
        <v>1318</v>
      </c>
      <c r="B319">
        <v>43</v>
      </c>
      <c r="C319" t="s">
        <v>31</v>
      </c>
      <c r="D319" t="s">
        <v>35</v>
      </c>
      <c r="E319" t="s">
        <v>25</v>
      </c>
      <c r="F319" t="s">
        <v>24</v>
      </c>
      <c r="G319">
        <v>85761</v>
      </c>
      <c r="H319">
        <v>15</v>
      </c>
      <c r="I319">
        <v>26</v>
      </c>
      <c r="J319">
        <v>4</v>
      </c>
      <c r="K319">
        <v>7</v>
      </c>
      <c r="L319" s="1">
        <v>43571</v>
      </c>
      <c r="M319" s="1">
        <v>43717</v>
      </c>
    </row>
    <row r="320" spans="1:13" x14ac:dyDescent="0.25">
      <c r="A320">
        <v>1319</v>
      </c>
      <c r="B320">
        <v>23</v>
      </c>
      <c r="C320" t="s">
        <v>31</v>
      </c>
      <c r="D320" t="s">
        <v>38</v>
      </c>
      <c r="E320" t="s">
        <v>39</v>
      </c>
      <c r="F320" t="s">
        <v>24</v>
      </c>
      <c r="G320">
        <v>89849</v>
      </c>
      <c r="H320">
        <v>26</v>
      </c>
      <c r="I320">
        <v>51</v>
      </c>
      <c r="J320">
        <v>2</v>
      </c>
      <c r="K320">
        <v>4</v>
      </c>
      <c r="L320" s="1">
        <v>43801</v>
      </c>
      <c r="M320" s="1" t="s">
        <v>9</v>
      </c>
    </row>
    <row r="321" spans="1:13" x14ac:dyDescent="0.25">
      <c r="A321">
        <v>1320</v>
      </c>
      <c r="B321">
        <v>53</v>
      </c>
      <c r="C321" t="s">
        <v>32</v>
      </c>
      <c r="D321" t="s">
        <v>19</v>
      </c>
      <c r="E321" t="s">
        <v>34</v>
      </c>
      <c r="F321" t="s">
        <v>17</v>
      </c>
      <c r="G321">
        <v>72657</v>
      </c>
      <c r="H321">
        <v>19</v>
      </c>
      <c r="I321">
        <v>24</v>
      </c>
      <c r="J321">
        <v>4</v>
      </c>
      <c r="K321">
        <v>7</v>
      </c>
      <c r="L321" s="1">
        <v>42769</v>
      </c>
      <c r="M321" s="1" t="s">
        <v>9</v>
      </c>
    </row>
    <row r="322" spans="1:13" x14ac:dyDescent="0.25">
      <c r="A322">
        <v>1321</v>
      </c>
      <c r="B322">
        <v>60</v>
      </c>
      <c r="C322" t="s">
        <v>32</v>
      </c>
      <c r="D322" t="s">
        <v>35</v>
      </c>
      <c r="E322" t="s">
        <v>14</v>
      </c>
      <c r="F322" t="s">
        <v>42</v>
      </c>
      <c r="G322">
        <v>80272</v>
      </c>
      <c r="H322">
        <v>20</v>
      </c>
      <c r="I322">
        <v>14</v>
      </c>
      <c r="J322" t="s">
        <v>9</v>
      </c>
      <c r="K322">
        <v>3</v>
      </c>
      <c r="L322" s="1">
        <v>44131</v>
      </c>
      <c r="M322" s="1" t="s">
        <v>9</v>
      </c>
    </row>
    <row r="323" spans="1:13" x14ac:dyDescent="0.25">
      <c r="A323">
        <v>1322</v>
      </c>
      <c r="B323">
        <v>57</v>
      </c>
      <c r="C323" t="s">
        <v>43</v>
      </c>
      <c r="D323" t="s">
        <v>13</v>
      </c>
      <c r="E323" t="s">
        <v>20</v>
      </c>
      <c r="F323" t="s">
        <v>21</v>
      </c>
      <c r="G323">
        <v>71758</v>
      </c>
      <c r="H323">
        <v>12</v>
      </c>
      <c r="I323">
        <v>31</v>
      </c>
      <c r="J323" t="s">
        <v>9</v>
      </c>
      <c r="K323">
        <v>8</v>
      </c>
      <c r="L323" s="1">
        <v>44455</v>
      </c>
      <c r="M323" s="1" t="s">
        <v>9</v>
      </c>
    </row>
    <row r="324" spans="1:13" x14ac:dyDescent="0.25">
      <c r="A324">
        <v>1323</v>
      </c>
      <c r="B324">
        <v>29</v>
      </c>
      <c r="C324" t="s">
        <v>31</v>
      </c>
      <c r="D324" t="s">
        <v>16</v>
      </c>
      <c r="E324" t="s">
        <v>14</v>
      </c>
      <c r="F324" t="s">
        <v>42</v>
      </c>
      <c r="G324">
        <v>56073</v>
      </c>
      <c r="H324">
        <v>30</v>
      </c>
      <c r="I324">
        <v>48</v>
      </c>
      <c r="J324">
        <v>5</v>
      </c>
      <c r="K324">
        <v>6</v>
      </c>
      <c r="L324" s="1">
        <v>44109</v>
      </c>
      <c r="M324" s="1" t="s">
        <v>9</v>
      </c>
    </row>
    <row r="325" spans="1:13" x14ac:dyDescent="0.25">
      <c r="A325">
        <v>1324</v>
      </c>
      <c r="B325">
        <v>40</v>
      </c>
      <c r="C325" t="s">
        <v>43</v>
      </c>
      <c r="D325" t="s">
        <v>36</v>
      </c>
      <c r="E325" t="s">
        <v>25</v>
      </c>
      <c r="F325" t="s">
        <v>17</v>
      </c>
      <c r="G325">
        <v>71481</v>
      </c>
      <c r="H325">
        <v>5</v>
      </c>
      <c r="I325">
        <v>13</v>
      </c>
      <c r="J325" t="s">
        <v>9</v>
      </c>
      <c r="K325">
        <v>10</v>
      </c>
      <c r="L325" s="1">
        <v>45051</v>
      </c>
      <c r="M325" s="1" t="s">
        <v>9</v>
      </c>
    </row>
    <row r="326" spans="1:13" x14ac:dyDescent="0.25">
      <c r="A326">
        <v>1325</v>
      </c>
      <c r="B326">
        <v>57</v>
      </c>
      <c r="C326" t="s">
        <v>33</v>
      </c>
      <c r="D326" t="s">
        <v>27</v>
      </c>
      <c r="E326" t="s">
        <v>14</v>
      </c>
      <c r="F326" t="s">
        <v>42</v>
      </c>
      <c r="G326">
        <v>61792</v>
      </c>
      <c r="H326">
        <v>24</v>
      </c>
      <c r="I326">
        <v>52</v>
      </c>
      <c r="J326" t="s">
        <v>9</v>
      </c>
      <c r="K326">
        <v>2</v>
      </c>
      <c r="L326" s="1">
        <v>42939</v>
      </c>
      <c r="M326" s="1" t="s">
        <v>9</v>
      </c>
    </row>
    <row r="327" spans="1:13" x14ac:dyDescent="0.25">
      <c r="A327">
        <v>1326</v>
      </c>
      <c r="B327">
        <v>49</v>
      </c>
      <c r="C327" t="s">
        <v>32</v>
      </c>
      <c r="D327" t="s">
        <v>38</v>
      </c>
      <c r="E327" t="s">
        <v>39</v>
      </c>
      <c r="F327" t="s">
        <v>18</v>
      </c>
      <c r="G327">
        <v>75485</v>
      </c>
      <c r="H327">
        <v>6</v>
      </c>
      <c r="I327">
        <v>12</v>
      </c>
      <c r="J327" t="s">
        <v>9</v>
      </c>
      <c r="K327">
        <v>1</v>
      </c>
      <c r="L327" s="1">
        <v>45352</v>
      </c>
      <c r="M327" s="1" t="s">
        <v>9</v>
      </c>
    </row>
    <row r="328" spans="1:13" x14ac:dyDescent="0.25">
      <c r="A328">
        <v>1327</v>
      </c>
      <c r="B328">
        <v>33</v>
      </c>
      <c r="C328" t="s">
        <v>31</v>
      </c>
      <c r="D328" t="s">
        <v>23</v>
      </c>
      <c r="E328" t="s">
        <v>39</v>
      </c>
      <c r="F328" t="s">
        <v>40</v>
      </c>
      <c r="G328">
        <v>90274</v>
      </c>
      <c r="H328">
        <v>13</v>
      </c>
      <c r="I328">
        <v>2</v>
      </c>
      <c r="J328">
        <v>1</v>
      </c>
      <c r="K328">
        <v>8</v>
      </c>
      <c r="L328" s="1">
        <v>42405</v>
      </c>
      <c r="M328" s="1">
        <v>45078</v>
      </c>
    </row>
    <row r="329" spans="1:13" x14ac:dyDescent="0.25">
      <c r="A329">
        <v>1328</v>
      </c>
      <c r="B329">
        <v>59</v>
      </c>
      <c r="C329" t="s">
        <v>43</v>
      </c>
      <c r="D329" t="s">
        <v>19</v>
      </c>
      <c r="E329" t="s">
        <v>20</v>
      </c>
      <c r="F329" t="s">
        <v>15</v>
      </c>
      <c r="G329">
        <v>99136</v>
      </c>
      <c r="H329">
        <v>2</v>
      </c>
      <c r="I329">
        <v>8</v>
      </c>
      <c r="J329" t="s">
        <v>9</v>
      </c>
      <c r="K329">
        <v>9</v>
      </c>
      <c r="L329" s="1">
        <v>45467</v>
      </c>
      <c r="M329" s="1" t="s">
        <v>9</v>
      </c>
    </row>
    <row r="330" spans="1:13" x14ac:dyDescent="0.25">
      <c r="A330">
        <v>1329</v>
      </c>
      <c r="B330">
        <v>51</v>
      </c>
      <c r="C330" t="s">
        <v>32</v>
      </c>
      <c r="D330" t="s">
        <v>13</v>
      </c>
      <c r="E330" t="s">
        <v>25</v>
      </c>
      <c r="F330" t="s">
        <v>29</v>
      </c>
      <c r="G330">
        <v>79966</v>
      </c>
      <c r="H330">
        <v>15</v>
      </c>
      <c r="I330">
        <v>30</v>
      </c>
      <c r="J330" t="s">
        <v>9</v>
      </c>
      <c r="K330">
        <v>9</v>
      </c>
      <c r="L330" s="1">
        <v>44016</v>
      </c>
      <c r="M330" s="1" t="s">
        <v>9</v>
      </c>
    </row>
    <row r="331" spans="1:13" x14ac:dyDescent="0.25">
      <c r="A331">
        <v>1330</v>
      </c>
      <c r="B331">
        <v>44</v>
      </c>
      <c r="C331" t="s">
        <v>32</v>
      </c>
      <c r="D331" t="s">
        <v>22</v>
      </c>
      <c r="E331" t="s">
        <v>25</v>
      </c>
      <c r="F331" t="s">
        <v>15</v>
      </c>
      <c r="G331">
        <v>83672</v>
      </c>
      <c r="H331">
        <v>23</v>
      </c>
      <c r="I331">
        <v>14</v>
      </c>
      <c r="J331">
        <v>3</v>
      </c>
      <c r="K331">
        <v>6</v>
      </c>
      <c r="L331" s="1">
        <v>43658</v>
      </c>
      <c r="M331" s="1" t="s">
        <v>9</v>
      </c>
    </row>
    <row r="332" spans="1:13" x14ac:dyDescent="0.25">
      <c r="A332">
        <v>1331</v>
      </c>
      <c r="B332">
        <v>40</v>
      </c>
      <c r="C332" t="s">
        <v>31</v>
      </c>
      <c r="D332" t="s">
        <v>27</v>
      </c>
      <c r="E332" t="s">
        <v>20</v>
      </c>
      <c r="F332" t="s">
        <v>21</v>
      </c>
      <c r="G332">
        <v>94637</v>
      </c>
      <c r="H332">
        <v>16</v>
      </c>
      <c r="I332">
        <v>5</v>
      </c>
      <c r="J332">
        <v>1</v>
      </c>
      <c r="K332">
        <v>8</v>
      </c>
      <c r="L332" s="1">
        <v>44524</v>
      </c>
      <c r="M332" s="1">
        <v>44949</v>
      </c>
    </row>
    <row r="333" spans="1:13" x14ac:dyDescent="0.25">
      <c r="A333">
        <v>1332</v>
      </c>
      <c r="B333">
        <v>41</v>
      </c>
      <c r="C333" t="s">
        <v>32</v>
      </c>
      <c r="D333" t="s">
        <v>23</v>
      </c>
      <c r="E333" t="s">
        <v>41</v>
      </c>
      <c r="F333" t="s">
        <v>18</v>
      </c>
      <c r="G333">
        <v>95808</v>
      </c>
      <c r="H333">
        <v>14</v>
      </c>
      <c r="I333">
        <v>34</v>
      </c>
      <c r="J333" t="s">
        <v>9</v>
      </c>
      <c r="K333">
        <v>7</v>
      </c>
      <c r="L333" s="1">
        <v>45212</v>
      </c>
      <c r="M333" s="1" t="s">
        <v>9</v>
      </c>
    </row>
    <row r="334" spans="1:13" x14ac:dyDescent="0.25">
      <c r="A334">
        <v>1333</v>
      </c>
      <c r="B334">
        <v>39</v>
      </c>
      <c r="C334" t="s">
        <v>32</v>
      </c>
      <c r="D334" t="s">
        <v>27</v>
      </c>
      <c r="E334" t="s">
        <v>39</v>
      </c>
      <c r="F334" t="s">
        <v>17</v>
      </c>
      <c r="G334">
        <v>70406</v>
      </c>
      <c r="H334">
        <v>16</v>
      </c>
      <c r="I334">
        <v>58</v>
      </c>
      <c r="J334">
        <v>3</v>
      </c>
      <c r="K334">
        <v>9</v>
      </c>
      <c r="L334" s="1">
        <v>44132</v>
      </c>
      <c r="M334" s="1" t="s">
        <v>9</v>
      </c>
    </row>
    <row r="335" spans="1:13" x14ac:dyDescent="0.25">
      <c r="A335">
        <v>1334</v>
      </c>
      <c r="B335">
        <v>23</v>
      </c>
      <c r="C335" t="s">
        <v>32</v>
      </c>
      <c r="D335" t="s">
        <v>35</v>
      </c>
      <c r="E335" t="s">
        <v>25</v>
      </c>
      <c r="F335" t="s">
        <v>42</v>
      </c>
      <c r="G335">
        <v>81587</v>
      </c>
      <c r="H335">
        <v>0</v>
      </c>
      <c r="I335">
        <v>51</v>
      </c>
      <c r="J335" t="s">
        <v>9</v>
      </c>
      <c r="K335">
        <v>2</v>
      </c>
      <c r="L335" s="1">
        <v>44035</v>
      </c>
      <c r="M335" s="1">
        <v>44672</v>
      </c>
    </row>
    <row r="336" spans="1:13" x14ac:dyDescent="0.25">
      <c r="A336">
        <v>1335</v>
      </c>
      <c r="B336">
        <v>29</v>
      </c>
      <c r="C336" t="s">
        <v>32</v>
      </c>
      <c r="D336" t="s">
        <v>36</v>
      </c>
      <c r="E336" t="s">
        <v>12</v>
      </c>
      <c r="F336" t="s">
        <v>18</v>
      </c>
      <c r="G336">
        <v>109035</v>
      </c>
      <c r="H336">
        <v>16</v>
      </c>
      <c r="I336">
        <v>19</v>
      </c>
      <c r="J336">
        <v>2</v>
      </c>
      <c r="K336">
        <v>3</v>
      </c>
      <c r="L336" s="1">
        <v>42914</v>
      </c>
      <c r="M336" s="1" t="s">
        <v>9</v>
      </c>
    </row>
    <row r="337" spans="1:13" x14ac:dyDescent="0.25">
      <c r="A337">
        <v>1336</v>
      </c>
      <c r="B337">
        <v>52</v>
      </c>
      <c r="C337" t="s">
        <v>32</v>
      </c>
      <c r="D337" t="s">
        <v>22</v>
      </c>
      <c r="E337" t="s">
        <v>20</v>
      </c>
      <c r="F337" t="s">
        <v>29</v>
      </c>
      <c r="G337">
        <v>90624</v>
      </c>
      <c r="H337">
        <v>0</v>
      </c>
      <c r="I337">
        <v>28</v>
      </c>
      <c r="J337">
        <v>3</v>
      </c>
      <c r="K337">
        <v>4</v>
      </c>
      <c r="L337" s="1">
        <v>43275</v>
      </c>
      <c r="M337" s="1">
        <v>44640</v>
      </c>
    </row>
    <row r="338" spans="1:13" x14ac:dyDescent="0.25">
      <c r="A338">
        <v>1337</v>
      </c>
      <c r="B338">
        <v>22</v>
      </c>
      <c r="C338" t="s">
        <v>43</v>
      </c>
      <c r="D338" t="s">
        <v>35</v>
      </c>
      <c r="E338" t="s">
        <v>34</v>
      </c>
      <c r="F338" t="s">
        <v>44</v>
      </c>
      <c r="G338">
        <v>82354</v>
      </c>
      <c r="H338">
        <v>26</v>
      </c>
      <c r="I338">
        <v>51</v>
      </c>
      <c r="J338">
        <v>1</v>
      </c>
      <c r="K338">
        <v>3</v>
      </c>
      <c r="L338" s="1">
        <v>44639</v>
      </c>
      <c r="M338" s="1" t="s">
        <v>9</v>
      </c>
    </row>
    <row r="339" spans="1:13" x14ac:dyDescent="0.25">
      <c r="A339">
        <v>1338</v>
      </c>
      <c r="B339">
        <v>26</v>
      </c>
      <c r="C339" t="s">
        <v>32</v>
      </c>
      <c r="D339" t="s">
        <v>13</v>
      </c>
      <c r="E339" t="s">
        <v>39</v>
      </c>
      <c r="F339" t="s">
        <v>26</v>
      </c>
      <c r="G339">
        <v>73121</v>
      </c>
      <c r="H339">
        <v>8</v>
      </c>
      <c r="I339">
        <v>10</v>
      </c>
      <c r="J339" t="s">
        <v>9</v>
      </c>
      <c r="K339">
        <v>4</v>
      </c>
      <c r="L339" s="1">
        <v>45279</v>
      </c>
      <c r="M339" s="1" t="s">
        <v>9</v>
      </c>
    </row>
    <row r="340" spans="1:13" x14ac:dyDescent="0.25">
      <c r="A340">
        <v>1339</v>
      </c>
      <c r="B340">
        <v>40</v>
      </c>
      <c r="C340" t="s">
        <v>32</v>
      </c>
      <c r="D340" t="s">
        <v>22</v>
      </c>
      <c r="E340" t="s">
        <v>20</v>
      </c>
      <c r="F340" t="s">
        <v>26</v>
      </c>
      <c r="G340">
        <v>105212</v>
      </c>
      <c r="H340">
        <v>22</v>
      </c>
      <c r="I340">
        <v>50</v>
      </c>
      <c r="J340" t="s">
        <v>9</v>
      </c>
      <c r="K340">
        <v>4</v>
      </c>
      <c r="L340" s="1">
        <v>44009</v>
      </c>
      <c r="M340" s="1" t="s">
        <v>9</v>
      </c>
    </row>
    <row r="341" spans="1:13" x14ac:dyDescent="0.25">
      <c r="A341">
        <v>1340</v>
      </c>
      <c r="B341">
        <v>40</v>
      </c>
      <c r="C341" t="s">
        <v>31</v>
      </c>
      <c r="D341" t="s">
        <v>27</v>
      </c>
      <c r="E341" t="s">
        <v>28</v>
      </c>
      <c r="F341" t="s">
        <v>29</v>
      </c>
      <c r="G341">
        <v>91066</v>
      </c>
      <c r="H341">
        <v>19</v>
      </c>
      <c r="I341">
        <v>11</v>
      </c>
      <c r="J341">
        <v>4</v>
      </c>
      <c r="K341">
        <v>7</v>
      </c>
      <c r="L341" s="1">
        <v>42678</v>
      </c>
      <c r="M341" s="1" t="s">
        <v>9</v>
      </c>
    </row>
    <row r="342" spans="1:13" x14ac:dyDescent="0.25">
      <c r="A342">
        <v>1341</v>
      </c>
      <c r="B342">
        <v>26</v>
      </c>
      <c r="C342" t="s">
        <v>31</v>
      </c>
      <c r="D342" t="s">
        <v>23</v>
      </c>
      <c r="E342" t="s">
        <v>28</v>
      </c>
      <c r="F342" t="s">
        <v>26</v>
      </c>
      <c r="G342">
        <v>55008</v>
      </c>
      <c r="H342">
        <v>30</v>
      </c>
      <c r="I342">
        <v>33</v>
      </c>
      <c r="J342">
        <v>2</v>
      </c>
      <c r="K342">
        <v>9</v>
      </c>
      <c r="L342" s="1">
        <v>42617</v>
      </c>
      <c r="M342" s="1" t="s">
        <v>9</v>
      </c>
    </row>
    <row r="343" spans="1:13" x14ac:dyDescent="0.25">
      <c r="A343">
        <v>1342</v>
      </c>
      <c r="B343">
        <v>44</v>
      </c>
      <c r="C343" t="s">
        <v>32</v>
      </c>
      <c r="D343" t="s">
        <v>27</v>
      </c>
      <c r="E343" t="s">
        <v>14</v>
      </c>
      <c r="F343" t="s">
        <v>21</v>
      </c>
      <c r="G343">
        <v>92861</v>
      </c>
      <c r="H343">
        <v>18</v>
      </c>
      <c r="I343">
        <v>20</v>
      </c>
      <c r="J343">
        <v>3</v>
      </c>
      <c r="K343">
        <v>5</v>
      </c>
      <c r="L343" s="1">
        <v>44685</v>
      </c>
      <c r="M343" s="1" t="s">
        <v>9</v>
      </c>
    </row>
    <row r="344" spans="1:13" x14ac:dyDescent="0.25">
      <c r="A344">
        <v>1343</v>
      </c>
      <c r="B344">
        <v>39</v>
      </c>
      <c r="C344" t="s">
        <v>32</v>
      </c>
      <c r="D344" t="s">
        <v>19</v>
      </c>
      <c r="E344" t="s">
        <v>39</v>
      </c>
      <c r="F344" t="s">
        <v>26</v>
      </c>
      <c r="G344">
        <v>45047</v>
      </c>
      <c r="H344">
        <v>11</v>
      </c>
      <c r="I344">
        <v>60</v>
      </c>
      <c r="J344">
        <v>2</v>
      </c>
      <c r="K344">
        <v>10</v>
      </c>
      <c r="L344" s="1">
        <v>44305</v>
      </c>
      <c r="M344" s="1">
        <v>43211</v>
      </c>
    </row>
    <row r="345" spans="1:13" x14ac:dyDescent="0.25">
      <c r="A345">
        <v>1344</v>
      </c>
      <c r="B345">
        <v>37</v>
      </c>
      <c r="C345" t="s">
        <v>31</v>
      </c>
      <c r="D345" t="s">
        <v>13</v>
      </c>
      <c r="E345" t="s">
        <v>12</v>
      </c>
      <c r="F345" t="s">
        <v>26</v>
      </c>
      <c r="G345">
        <v>64286</v>
      </c>
      <c r="H345">
        <v>29</v>
      </c>
      <c r="I345">
        <v>60</v>
      </c>
      <c r="J345">
        <v>3</v>
      </c>
      <c r="K345">
        <v>10</v>
      </c>
      <c r="L345" s="1">
        <v>44476</v>
      </c>
      <c r="M345" s="1">
        <v>43231</v>
      </c>
    </row>
    <row r="346" spans="1:13" x14ac:dyDescent="0.25">
      <c r="A346">
        <v>1345</v>
      </c>
      <c r="B346">
        <v>44</v>
      </c>
      <c r="C346" t="s">
        <v>31</v>
      </c>
      <c r="D346" t="s">
        <v>22</v>
      </c>
      <c r="E346" t="s">
        <v>20</v>
      </c>
      <c r="F346" t="s">
        <v>21</v>
      </c>
      <c r="G346">
        <v>89826</v>
      </c>
      <c r="H346">
        <v>6</v>
      </c>
      <c r="I346">
        <v>52</v>
      </c>
      <c r="J346" t="s">
        <v>9</v>
      </c>
      <c r="K346">
        <v>10</v>
      </c>
      <c r="L346" s="1">
        <v>42082</v>
      </c>
      <c r="M346" s="1" t="s">
        <v>9</v>
      </c>
    </row>
    <row r="347" spans="1:13" x14ac:dyDescent="0.25">
      <c r="A347">
        <v>1346</v>
      </c>
      <c r="B347">
        <v>45</v>
      </c>
      <c r="C347" t="s">
        <v>31</v>
      </c>
      <c r="D347" t="s">
        <v>36</v>
      </c>
      <c r="E347" t="s">
        <v>20</v>
      </c>
      <c r="F347" t="s">
        <v>24</v>
      </c>
      <c r="G347">
        <v>83375</v>
      </c>
      <c r="H347">
        <v>21</v>
      </c>
      <c r="I347">
        <v>2</v>
      </c>
      <c r="J347">
        <v>1</v>
      </c>
      <c r="K347">
        <v>8</v>
      </c>
      <c r="L347" s="1">
        <v>42868</v>
      </c>
      <c r="M347" s="1" t="s">
        <v>9</v>
      </c>
    </row>
    <row r="348" spans="1:13" x14ac:dyDescent="0.25">
      <c r="A348">
        <v>1347</v>
      </c>
      <c r="B348">
        <v>32</v>
      </c>
      <c r="C348" t="s">
        <v>33</v>
      </c>
      <c r="D348" t="s">
        <v>27</v>
      </c>
      <c r="E348" t="s">
        <v>41</v>
      </c>
      <c r="F348" t="s">
        <v>29</v>
      </c>
      <c r="G348">
        <v>70523</v>
      </c>
      <c r="H348">
        <v>11</v>
      </c>
      <c r="I348">
        <v>39</v>
      </c>
      <c r="J348">
        <v>2</v>
      </c>
      <c r="K348">
        <v>8</v>
      </c>
      <c r="L348" s="1">
        <v>44086</v>
      </c>
      <c r="M348" s="1" t="s">
        <v>9</v>
      </c>
    </row>
    <row r="349" spans="1:13" x14ac:dyDescent="0.25">
      <c r="A349">
        <v>1348</v>
      </c>
      <c r="B349">
        <v>41</v>
      </c>
      <c r="C349" t="s">
        <v>31</v>
      </c>
      <c r="D349" t="s">
        <v>35</v>
      </c>
      <c r="E349" t="s">
        <v>12</v>
      </c>
      <c r="F349" t="s">
        <v>42</v>
      </c>
      <c r="G349">
        <v>80402</v>
      </c>
      <c r="H349">
        <v>2</v>
      </c>
      <c r="I349">
        <v>9</v>
      </c>
      <c r="J349">
        <v>4</v>
      </c>
      <c r="K349">
        <v>6</v>
      </c>
      <c r="L349" s="1">
        <v>45551</v>
      </c>
      <c r="M349" s="1">
        <v>43705</v>
      </c>
    </row>
    <row r="350" spans="1:13" x14ac:dyDescent="0.25">
      <c r="A350">
        <v>1349</v>
      </c>
      <c r="B350">
        <v>38</v>
      </c>
      <c r="C350" t="s">
        <v>33</v>
      </c>
      <c r="D350" t="s">
        <v>27</v>
      </c>
      <c r="E350" t="s">
        <v>12</v>
      </c>
      <c r="F350" t="s">
        <v>17</v>
      </c>
      <c r="G350">
        <v>81920</v>
      </c>
      <c r="H350">
        <v>3</v>
      </c>
      <c r="I350">
        <v>37</v>
      </c>
      <c r="J350">
        <v>4</v>
      </c>
      <c r="K350">
        <v>4</v>
      </c>
      <c r="L350" s="1">
        <v>43542</v>
      </c>
      <c r="M350" s="1">
        <v>42877</v>
      </c>
    </row>
    <row r="351" spans="1:13" x14ac:dyDescent="0.25">
      <c r="A351">
        <v>1350</v>
      </c>
      <c r="B351">
        <v>31</v>
      </c>
      <c r="C351" t="s">
        <v>32</v>
      </c>
      <c r="D351" t="s">
        <v>27</v>
      </c>
      <c r="E351" t="s">
        <v>28</v>
      </c>
      <c r="F351" t="s">
        <v>18</v>
      </c>
      <c r="G351">
        <v>48712</v>
      </c>
      <c r="H351">
        <v>3</v>
      </c>
      <c r="I351">
        <v>50</v>
      </c>
      <c r="J351">
        <v>3</v>
      </c>
      <c r="K351">
        <v>9</v>
      </c>
      <c r="L351" s="1">
        <v>44525</v>
      </c>
      <c r="M351" s="1">
        <v>42569</v>
      </c>
    </row>
    <row r="352" spans="1:13" x14ac:dyDescent="0.25">
      <c r="A352">
        <v>1351</v>
      </c>
      <c r="B352">
        <v>23</v>
      </c>
      <c r="C352" t="s">
        <v>31</v>
      </c>
      <c r="D352" t="s">
        <v>35</v>
      </c>
      <c r="E352" t="s">
        <v>25</v>
      </c>
      <c r="F352" t="s">
        <v>17</v>
      </c>
      <c r="G352">
        <v>51210</v>
      </c>
      <c r="H352">
        <v>16</v>
      </c>
      <c r="I352">
        <v>42</v>
      </c>
      <c r="J352">
        <v>3</v>
      </c>
      <c r="K352">
        <v>4</v>
      </c>
      <c r="L352" s="1">
        <v>43997</v>
      </c>
      <c r="M352" s="1" t="s">
        <v>9</v>
      </c>
    </row>
    <row r="353" spans="1:13" x14ac:dyDescent="0.25">
      <c r="A353">
        <v>1352</v>
      </c>
      <c r="B353">
        <v>34</v>
      </c>
      <c r="C353" t="s">
        <v>32</v>
      </c>
      <c r="D353" t="s">
        <v>22</v>
      </c>
      <c r="E353" t="s">
        <v>39</v>
      </c>
      <c r="F353" t="s">
        <v>42</v>
      </c>
      <c r="G353">
        <v>75665</v>
      </c>
      <c r="H353">
        <v>13</v>
      </c>
      <c r="I353">
        <v>32</v>
      </c>
      <c r="J353" t="s">
        <v>9</v>
      </c>
      <c r="K353">
        <v>3</v>
      </c>
      <c r="L353" s="1">
        <v>42949</v>
      </c>
      <c r="M353" s="1" t="s">
        <v>9</v>
      </c>
    </row>
    <row r="354" spans="1:13" x14ac:dyDescent="0.25">
      <c r="A354">
        <v>1353</v>
      </c>
      <c r="B354">
        <v>32</v>
      </c>
      <c r="C354" t="s">
        <v>37</v>
      </c>
      <c r="D354" t="s">
        <v>13</v>
      </c>
      <c r="E354" t="s">
        <v>39</v>
      </c>
      <c r="F354" t="s">
        <v>18</v>
      </c>
      <c r="G354">
        <v>96210</v>
      </c>
      <c r="H354">
        <v>7</v>
      </c>
      <c r="I354">
        <v>60</v>
      </c>
      <c r="J354">
        <v>2</v>
      </c>
      <c r="K354">
        <v>5</v>
      </c>
      <c r="L354" s="1">
        <v>44961</v>
      </c>
      <c r="M354" s="1" t="s">
        <v>9</v>
      </c>
    </row>
    <row r="355" spans="1:13" x14ac:dyDescent="0.25">
      <c r="A355">
        <v>1354</v>
      </c>
      <c r="B355">
        <v>54</v>
      </c>
      <c r="C355" t="s">
        <v>31</v>
      </c>
      <c r="D355" t="s">
        <v>36</v>
      </c>
      <c r="E355" t="s">
        <v>12</v>
      </c>
      <c r="F355" t="s">
        <v>18</v>
      </c>
      <c r="G355">
        <v>56179</v>
      </c>
      <c r="H355">
        <v>0</v>
      </c>
      <c r="I355">
        <v>22</v>
      </c>
      <c r="J355">
        <v>5</v>
      </c>
      <c r="K355">
        <v>7</v>
      </c>
      <c r="L355" s="1">
        <v>44538</v>
      </c>
      <c r="M355" s="1">
        <v>45287</v>
      </c>
    </row>
    <row r="356" spans="1:13" x14ac:dyDescent="0.25">
      <c r="A356">
        <v>1355</v>
      </c>
      <c r="B356">
        <v>57</v>
      </c>
      <c r="C356" t="s">
        <v>43</v>
      </c>
      <c r="D356" t="s">
        <v>35</v>
      </c>
      <c r="E356" t="s">
        <v>12</v>
      </c>
      <c r="F356" t="s">
        <v>15</v>
      </c>
      <c r="G356">
        <v>84192</v>
      </c>
      <c r="H356">
        <v>25</v>
      </c>
      <c r="I356">
        <v>56</v>
      </c>
      <c r="J356">
        <v>2</v>
      </c>
      <c r="K356">
        <v>7</v>
      </c>
      <c r="L356" s="1">
        <v>45159</v>
      </c>
      <c r="M356" s="1" t="s">
        <v>9</v>
      </c>
    </row>
    <row r="357" spans="1:13" x14ac:dyDescent="0.25">
      <c r="A357">
        <v>1356</v>
      </c>
      <c r="B357">
        <v>26</v>
      </c>
      <c r="C357" t="s">
        <v>33</v>
      </c>
      <c r="D357" t="s">
        <v>27</v>
      </c>
      <c r="E357" t="s">
        <v>12</v>
      </c>
      <c r="F357" t="s">
        <v>17</v>
      </c>
      <c r="G357">
        <v>51649</v>
      </c>
      <c r="H357">
        <v>15</v>
      </c>
      <c r="I357">
        <v>43</v>
      </c>
      <c r="J357">
        <v>1</v>
      </c>
      <c r="K357">
        <v>6</v>
      </c>
      <c r="L357" s="1">
        <v>42679</v>
      </c>
      <c r="M357" s="1" t="s">
        <v>9</v>
      </c>
    </row>
    <row r="358" spans="1:13" x14ac:dyDescent="0.25">
      <c r="A358">
        <v>1357</v>
      </c>
      <c r="B358">
        <v>21</v>
      </c>
      <c r="C358" t="s">
        <v>31</v>
      </c>
      <c r="D358" t="s">
        <v>16</v>
      </c>
      <c r="E358" t="s">
        <v>41</v>
      </c>
      <c r="F358" t="s">
        <v>24</v>
      </c>
      <c r="G358">
        <v>99820</v>
      </c>
      <c r="H358">
        <v>19</v>
      </c>
      <c r="I358">
        <v>19</v>
      </c>
      <c r="J358">
        <v>5</v>
      </c>
      <c r="K358">
        <v>10</v>
      </c>
      <c r="L358" s="1">
        <v>44634</v>
      </c>
      <c r="M358" s="1" t="s">
        <v>9</v>
      </c>
    </row>
    <row r="359" spans="1:13" x14ac:dyDescent="0.25">
      <c r="A359">
        <v>1358</v>
      </c>
      <c r="B359">
        <v>31</v>
      </c>
      <c r="C359" t="s">
        <v>32</v>
      </c>
      <c r="D359" t="s">
        <v>19</v>
      </c>
      <c r="E359" t="s">
        <v>25</v>
      </c>
      <c r="F359" t="s">
        <v>26</v>
      </c>
      <c r="G359">
        <v>84452</v>
      </c>
      <c r="H359">
        <v>23</v>
      </c>
      <c r="I359">
        <v>45</v>
      </c>
      <c r="J359">
        <v>2</v>
      </c>
      <c r="K359">
        <v>6</v>
      </c>
      <c r="L359" s="1">
        <v>45506</v>
      </c>
      <c r="M359" s="1">
        <v>43199</v>
      </c>
    </row>
    <row r="360" spans="1:13" x14ac:dyDescent="0.25">
      <c r="A360">
        <v>1359</v>
      </c>
      <c r="B360">
        <v>48</v>
      </c>
      <c r="C360" t="s">
        <v>31</v>
      </c>
      <c r="D360" t="s">
        <v>13</v>
      </c>
      <c r="E360" t="s">
        <v>41</v>
      </c>
      <c r="F360" t="s">
        <v>29</v>
      </c>
      <c r="G360">
        <v>46742</v>
      </c>
      <c r="H360">
        <v>10</v>
      </c>
      <c r="I360">
        <v>2</v>
      </c>
      <c r="J360" t="s">
        <v>9</v>
      </c>
      <c r="K360">
        <v>7</v>
      </c>
      <c r="L360" s="1">
        <v>42557</v>
      </c>
      <c r="M360" s="1">
        <v>45537</v>
      </c>
    </row>
    <row r="361" spans="1:13" x14ac:dyDescent="0.25">
      <c r="A361">
        <v>1360</v>
      </c>
      <c r="B361">
        <v>26</v>
      </c>
      <c r="C361" t="s">
        <v>32</v>
      </c>
      <c r="D361" t="s">
        <v>13</v>
      </c>
      <c r="E361" t="s">
        <v>14</v>
      </c>
      <c r="F361" t="s">
        <v>26</v>
      </c>
      <c r="G361">
        <v>59828</v>
      </c>
      <c r="H361">
        <v>10</v>
      </c>
      <c r="I361">
        <v>4</v>
      </c>
      <c r="J361" t="s">
        <v>9</v>
      </c>
      <c r="K361">
        <v>9</v>
      </c>
      <c r="L361" s="1">
        <v>42071</v>
      </c>
      <c r="M361" s="1">
        <v>42894</v>
      </c>
    </row>
    <row r="362" spans="1:13" x14ac:dyDescent="0.25">
      <c r="A362">
        <v>1361</v>
      </c>
      <c r="B362">
        <v>39</v>
      </c>
      <c r="C362" t="s">
        <v>31</v>
      </c>
      <c r="D362" t="s">
        <v>38</v>
      </c>
      <c r="E362" t="s">
        <v>20</v>
      </c>
      <c r="F362" t="s">
        <v>18</v>
      </c>
      <c r="G362">
        <v>64580</v>
      </c>
      <c r="H362">
        <v>26</v>
      </c>
      <c r="I362">
        <v>50</v>
      </c>
      <c r="J362" t="s">
        <v>9</v>
      </c>
      <c r="K362">
        <v>3</v>
      </c>
      <c r="L362" s="1">
        <v>44770</v>
      </c>
      <c r="M362" s="1" t="s">
        <v>9</v>
      </c>
    </row>
    <row r="363" spans="1:13" x14ac:dyDescent="0.25">
      <c r="A363">
        <v>1362</v>
      </c>
      <c r="B363">
        <v>44</v>
      </c>
      <c r="C363" t="s">
        <v>37</v>
      </c>
      <c r="D363" t="s">
        <v>22</v>
      </c>
      <c r="E363" t="s">
        <v>39</v>
      </c>
      <c r="F363" t="s">
        <v>29</v>
      </c>
      <c r="G363">
        <v>81261</v>
      </c>
      <c r="H363">
        <v>28</v>
      </c>
      <c r="I363">
        <v>57</v>
      </c>
      <c r="J363" t="s">
        <v>9</v>
      </c>
      <c r="K363">
        <v>9</v>
      </c>
      <c r="L363" s="1">
        <v>42686</v>
      </c>
      <c r="M363" s="1" t="s">
        <v>9</v>
      </c>
    </row>
    <row r="364" spans="1:13" x14ac:dyDescent="0.25">
      <c r="A364">
        <v>1363</v>
      </c>
      <c r="B364">
        <v>59</v>
      </c>
      <c r="C364" t="s">
        <v>31</v>
      </c>
      <c r="D364" t="s">
        <v>22</v>
      </c>
      <c r="E364" t="s">
        <v>12</v>
      </c>
      <c r="F364" t="s">
        <v>26</v>
      </c>
      <c r="G364">
        <v>82416</v>
      </c>
      <c r="H364">
        <v>6</v>
      </c>
      <c r="I364">
        <v>39</v>
      </c>
      <c r="J364" t="s">
        <v>9</v>
      </c>
      <c r="K364">
        <v>3</v>
      </c>
      <c r="L364" s="1">
        <v>44994</v>
      </c>
      <c r="M364" s="1" t="s">
        <v>9</v>
      </c>
    </row>
    <row r="365" spans="1:13" x14ac:dyDescent="0.25">
      <c r="A365">
        <v>1364</v>
      </c>
      <c r="B365">
        <v>21</v>
      </c>
      <c r="C365" t="s">
        <v>37</v>
      </c>
      <c r="D365" t="s">
        <v>35</v>
      </c>
      <c r="E365" t="s">
        <v>14</v>
      </c>
      <c r="F365" t="s">
        <v>29</v>
      </c>
      <c r="G365">
        <v>64998</v>
      </c>
      <c r="H365">
        <v>19</v>
      </c>
      <c r="I365">
        <v>4</v>
      </c>
      <c r="J365">
        <v>4</v>
      </c>
      <c r="K365">
        <v>7</v>
      </c>
      <c r="L365" s="1">
        <v>42456</v>
      </c>
      <c r="M365" s="1" t="s">
        <v>9</v>
      </c>
    </row>
    <row r="366" spans="1:13" x14ac:dyDescent="0.25">
      <c r="A366">
        <v>1365</v>
      </c>
      <c r="B366">
        <v>22</v>
      </c>
      <c r="C366" t="s">
        <v>32</v>
      </c>
      <c r="D366" t="s">
        <v>23</v>
      </c>
      <c r="E366" t="s">
        <v>25</v>
      </c>
      <c r="F366" t="s">
        <v>44</v>
      </c>
      <c r="G366">
        <v>68745</v>
      </c>
      <c r="H366">
        <v>12</v>
      </c>
      <c r="I366">
        <v>12</v>
      </c>
      <c r="J366">
        <v>5</v>
      </c>
      <c r="K366">
        <v>1</v>
      </c>
      <c r="L366" s="1">
        <v>42038</v>
      </c>
      <c r="M366" s="1" t="s">
        <v>9</v>
      </c>
    </row>
    <row r="367" spans="1:13" x14ac:dyDescent="0.25">
      <c r="A367">
        <v>1366</v>
      </c>
      <c r="B367">
        <v>38</v>
      </c>
      <c r="C367" t="s">
        <v>31</v>
      </c>
      <c r="D367" t="s">
        <v>23</v>
      </c>
      <c r="E367" t="s">
        <v>12</v>
      </c>
      <c r="F367" t="s">
        <v>42</v>
      </c>
      <c r="G367">
        <v>104048</v>
      </c>
      <c r="H367">
        <v>4</v>
      </c>
      <c r="I367">
        <v>57</v>
      </c>
      <c r="J367">
        <v>5</v>
      </c>
      <c r="K367">
        <v>4</v>
      </c>
      <c r="L367" s="1">
        <v>43014</v>
      </c>
      <c r="M367" s="1" t="s">
        <v>9</v>
      </c>
    </row>
    <row r="368" spans="1:13" x14ac:dyDescent="0.25">
      <c r="A368">
        <v>1367</v>
      </c>
      <c r="B368">
        <v>36</v>
      </c>
      <c r="C368" t="s">
        <v>32</v>
      </c>
      <c r="D368" t="s">
        <v>36</v>
      </c>
      <c r="E368" t="s">
        <v>25</v>
      </c>
      <c r="F368" t="s">
        <v>24</v>
      </c>
      <c r="G368">
        <v>83359</v>
      </c>
      <c r="H368">
        <v>26</v>
      </c>
      <c r="I368">
        <v>13</v>
      </c>
      <c r="J368">
        <v>3</v>
      </c>
      <c r="K368">
        <v>3</v>
      </c>
      <c r="L368" s="1">
        <v>42029</v>
      </c>
      <c r="M368" s="1">
        <v>43236</v>
      </c>
    </row>
    <row r="369" spans="1:13" x14ac:dyDescent="0.25">
      <c r="A369">
        <v>1368</v>
      </c>
      <c r="B369">
        <v>22</v>
      </c>
      <c r="C369" t="s">
        <v>32</v>
      </c>
      <c r="D369" t="s">
        <v>27</v>
      </c>
      <c r="E369" t="s">
        <v>12</v>
      </c>
      <c r="F369" t="s">
        <v>26</v>
      </c>
      <c r="G369">
        <v>50874</v>
      </c>
      <c r="H369">
        <v>23</v>
      </c>
      <c r="I369">
        <v>31</v>
      </c>
      <c r="J369" t="s">
        <v>9</v>
      </c>
      <c r="K369">
        <v>1</v>
      </c>
      <c r="L369" s="1">
        <v>44029</v>
      </c>
      <c r="M369" s="1" t="s">
        <v>9</v>
      </c>
    </row>
    <row r="370" spans="1:13" x14ac:dyDescent="0.25">
      <c r="A370">
        <v>1369</v>
      </c>
      <c r="B370">
        <v>51</v>
      </c>
      <c r="C370" t="s">
        <v>33</v>
      </c>
      <c r="D370" t="s">
        <v>13</v>
      </c>
      <c r="E370" t="s">
        <v>39</v>
      </c>
      <c r="F370" t="s">
        <v>21</v>
      </c>
      <c r="G370">
        <v>56701</v>
      </c>
      <c r="H370">
        <v>9</v>
      </c>
      <c r="I370">
        <v>58</v>
      </c>
      <c r="J370" t="s">
        <v>9</v>
      </c>
      <c r="K370">
        <v>3</v>
      </c>
      <c r="L370" s="1">
        <v>42591</v>
      </c>
      <c r="M370" s="1">
        <v>43944</v>
      </c>
    </row>
    <row r="371" spans="1:13" x14ac:dyDescent="0.25">
      <c r="A371">
        <v>1370</v>
      </c>
      <c r="B371">
        <v>50</v>
      </c>
      <c r="C371" t="s">
        <v>31</v>
      </c>
      <c r="D371" t="s">
        <v>36</v>
      </c>
      <c r="E371" t="s">
        <v>14</v>
      </c>
      <c r="F371" t="s">
        <v>44</v>
      </c>
      <c r="G371">
        <v>50020</v>
      </c>
      <c r="H371">
        <v>27</v>
      </c>
      <c r="I371">
        <v>59</v>
      </c>
      <c r="J371">
        <v>4</v>
      </c>
      <c r="K371">
        <v>8</v>
      </c>
      <c r="L371" s="1">
        <v>42284</v>
      </c>
      <c r="M371" s="1" t="s">
        <v>9</v>
      </c>
    </row>
    <row r="372" spans="1:13" x14ac:dyDescent="0.25">
      <c r="A372">
        <v>1371</v>
      </c>
      <c r="B372">
        <v>31</v>
      </c>
      <c r="C372" t="s">
        <v>32</v>
      </c>
      <c r="D372" t="s">
        <v>36</v>
      </c>
      <c r="E372" t="s">
        <v>12</v>
      </c>
      <c r="F372" t="s">
        <v>21</v>
      </c>
      <c r="G372">
        <v>87071</v>
      </c>
      <c r="H372">
        <v>7</v>
      </c>
      <c r="I372">
        <v>10</v>
      </c>
      <c r="J372">
        <v>4</v>
      </c>
      <c r="K372">
        <v>8</v>
      </c>
      <c r="L372" s="1">
        <v>43533</v>
      </c>
      <c r="M372" s="1" t="s">
        <v>9</v>
      </c>
    </row>
    <row r="373" spans="1:13" x14ac:dyDescent="0.25">
      <c r="A373">
        <v>1372</v>
      </c>
      <c r="B373">
        <v>51</v>
      </c>
      <c r="C373" t="s">
        <v>43</v>
      </c>
      <c r="D373" t="s">
        <v>27</v>
      </c>
      <c r="E373" t="s">
        <v>25</v>
      </c>
      <c r="F373" t="s">
        <v>40</v>
      </c>
      <c r="G373">
        <v>104355</v>
      </c>
      <c r="H373">
        <v>6</v>
      </c>
      <c r="I373">
        <v>12</v>
      </c>
      <c r="J373">
        <v>5</v>
      </c>
      <c r="K373">
        <v>7</v>
      </c>
      <c r="L373" s="1">
        <v>42465</v>
      </c>
      <c r="M373" s="1" t="s">
        <v>9</v>
      </c>
    </row>
    <row r="374" spans="1:13" x14ac:dyDescent="0.25">
      <c r="A374">
        <v>1373</v>
      </c>
      <c r="B374">
        <v>51</v>
      </c>
      <c r="C374" t="s">
        <v>31</v>
      </c>
      <c r="D374" t="s">
        <v>13</v>
      </c>
      <c r="E374" t="s">
        <v>28</v>
      </c>
      <c r="F374" t="s">
        <v>21</v>
      </c>
      <c r="G374">
        <v>72933</v>
      </c>
      <c r="H374">
        <v>7</v>
      </c>
      <c r="I374">
        <v>4</v>
      </c>
      <c r="J374" t="s">
        <v>9</v>
      </c>
      <c r="K374">
        <v>7</v>
      </c>
      <c r="L374" s="1">
        <v>45421</v>
      </c>
      <c r="M374" s="1" t="s">
        <v>9</v>
      </c>
    </row>
    <row r="375" spans="1:13" x14ac:dyDescent="0.25">
      <c r="A375">
        <v>1374</v>
      </c>
      <c r="B375">
        <v>58</v>
      </c>
      <c r="C375" t="s">
        <v>31</v>
      </c>
      <c r="D375" t="s">
        <v>35</v>
      </c>
      <c r="E375" t="s">
        <v>12</v>
      </c>
      <c r="F375" t="s">
        <v>18</v>
      </c>
      <c r="G375">
        <v>104878</v>
      </c>
      <c r="H375">
        <v>1</v>
      </c>
      <c r="I375">
        <v>8</v>
      </c>
      <c r="J375">
        <v>5</v>
      </c>
      <c r="K375">
        <v>1</v>
      </c>
      <c r="L375" s="1">
        <v>42536</v>
      </c>
      <c r="M375" s="1" t="s">
        <v>9</v>
      </c>
    </row>
    <row r="376" spans="1:13" x14ac:dyDescent="0.25">
      <c r="A376">
        <v>1375</v>
      </c>
      <c r="B376">
        <v>34</v>
      </c>
      <c r="C376" t="s">
        <v>32</v>
      </c>
      <c r="D376" t="s">
        <v>35</v>
      </c>
      <c r="E376" t="s">
        <v>20</v>
      </c>
      <c r="F376" t="s">
        <v>15</v>
      </c>
      <c r="G376">
        <v>58164</v>
      </c>
      <c r="H376">
        <v>17</v>
      </c>
      <c r="I376">
        <v>58</v>
      </c>
      <c r="J376">
        <v>2</v>
      </c>
      <c r="K376">
        <v>2</v>
      </c>
      <c r="L376" s="1">
        <v>42440</v>
      </c>
      <c r="M376" s="1" t="s">
        <v>9</v>
      </c>
    </row>
    <row r="377" spans="1:13" x14ac:dyDescent="0.25">
      <c r="A377">
        <v>1376</v>
      </c>
      <c r="B377">
        <v>46</v>
      </c>
      <c r="C377" t="s">
        <v>32</v>
      </c>
      <c r="D377" t="s">
        <v>22</v>
      </c>
      <c r="E377" t="s">
        <v>39</v>
      </c>
      <c r="F377" t="s">
        <v>21</v>
      </c>
      <c r="G377">
        <v>85013</v>
      </c>
      <c r="H377">
        <v>22</v>
      </c>
      <c r="I377">
        <v>34</v>
      </c>
      <c r="J377">
        <v>4</v>
      </c>
      <c r="K377">
        <v>6</v>
      </c>
      <c r="L377" s="1">
        <v>43548</v>
      </c>
      <c r="M377" s="1" t="s">
        <v>9</v>
      </c>
    </row>
    <row r="378" spans="1:13" x14ac:dyDescent="0.25">
      <c r="A378">
        <v>1377</v>
      </c>
      <c r="B378">
        <v>43</v>
      </c>
      <c r="C378" t="s">
        <v>31</v>
      </c>
      <c r="D378" t="s">
        <v>23</v>
      </c>
      <c r="E378" t="s">
        <v>25</v>
      </c>
      <c r="F378" t="s">
        <v>17</v>
      </c>
      <c r="G378">
        <v>85719</v>
      </c>
      <c r="H378">
        <v>13</v>
      </c>
      <c r="I378">
        <v>41</v>
      </c>
      <c r="J378">
        <v>3</v>
      </c>
      <c r="K378">
        <v>3</v>
      </c>
      <c r="L378" s="1">
        <v>42690</v>
      </c>
      <c r="M378" s="1" t="s">
        <v>9</v>
      </c>
    </row>
    <row r="379" spans="1:13" x14ac:dyDescent="0.25">
      <c r="A379">
        <v>1378</v>
      </c>
      <c r="B379">
        <v>60</v>
      </c>
      <c r="C379" t="s">
        <v>32</v>
      </c>
      <c r="D379" t="s">
        <v>19</v>
      </c>
      <c r="E379" t="s">
        <v>28</v>
      </c>
      <c r="F379" t="s">
        <v>29</v>
      </c>
      <c r="G379">
        <v>49628</v>
      </c>
      <c r="H379">
        <v>30</v>
      </c>
      <c r="I379">
        <v>46</v>
      </c>
      <c r="J379">
        <v>4</v>
      </c>
      <c r="K379">
        <v>3</v>
      </c>
      <c r="L379" s="1">
        <v>43965</v>
      </c>
      <c r="M379" s="1">
        <v>44475</v>
      </c>
    </row>
    <row r="380" spans="1:13" x14ac:dyDescent="0.25">
      <c r="A380">
        <v>1379</v>
      </c>
      <c r="B380">
        <v>46</v>
      </c>
      <c r="C380" t="s">
        <v>37</v>
      </c>
      <c r="D380" t="s">
        <v>36</v>
      </c>
      <c r="E380" t="s">
        <v>25</v>
      </c>
      <c r="F380" t="s">
        <v>15</v>
      </c>
      <c r="G380">
        <v>107948</v>
      </c>
      <c r="H380">
        <v>14</v>
      </c>
      <c r="I380">
        <v>36</v>
      </c>
      <c r="J380">
        <v>3</v>
      </c>
      <c r="K380">
        <v>3</v>
      </c>
      <c r="L380" s="1">
        <v>45455</v>
      </c>
      <c r="M380" s="1" t="s">
        <v>9</v>
      </c>
    </row>
    <row r="381" spans="1:13" x14ac:dyDescent="0.25">
      <c r="A381">
        <v>1380</v>
      </c>
      <c r="B381">
        <v>29</v>
      </c>
      <c r="C381" t="s">
        <v>32</v>
      </c>
      <c r="D381" t="s">
        <v>23</v>
      </c>
      <c r="E381" t="s">
        <v>12</v>
      </c>
      <c r="F381" t="s">
        <v>17</v>
      </c>
      <c r="G381">
        <v>86514</v>
      </c>
      <c r="H381">
        <v>8</v>
      </c>
      <c r="I381">
        <v>57</v>
      </c>
      <c r="J381">
        <v>3</v>
      </c>
      <c r="K381">
        <v>10</v>
      </c>
      <c r="L381" s="1">
        <v>44896</v>
      </c>
      <c r="M381" s="1">
        <v>44459</v>
      </c>
    </row>
    <row r="382" spans="1:13" x14ac:dyDescent="0.25">
      <c r="A382">
        <v>1381</v>
      </c>
      <c r="B382">
        <v>57</v>
      </c>
      <c r="C382" t="s">
        <v>31</v>
      </c>
      <c r="D382" t="s">
        <v>19</v>
      </c>
      <c r="E382" t="s">
        <v>14</v>
      </c>
      <c r="F382" t="s">
        <v>18</v>
      </c>
      <c r="G382">
        <v>81272</v>
      </c>
      <c r="H382">
        <v>25</v>
      </c>
      <c r="I382">
        <v>53</v>
      </c>
      <c r="J382">
        <v>1</v>
      </c>
      <c r="K382">
        <v>5</v>
      </c>
      <c r="L382" s="1">
        <v>43780</v>
      </c>
      <c r="M382" s="1">
        <v>43730</v>
      </c>
    </row>
    <row r="383" spans="1:13" x14ac:dyDescent="0.25">
      <c r="A383">
        <v>1382</v>
      </c>
      <c r="B383">
        <v>43</v>
      </c>
      <c r="C383" t="s">
        <v>31</v>
      </c>
      <c r="D383" t="s">
        <v>23</v>
      </c>
      <c r="E383" t="s">
        <v>28</v>
      </c>
      <c r="F383" t="s">
        <v>15</v>
      </c>
      <c r="G383">
        <v>80562</v>
      </c>
      <c r="H383">
        <v>29</v>
      </c>
      <c r="I383">
        <v>13</v>
      </c>
      <c r="J383">
        <v>2</v>
      </c>
      <c r="K383">
        <v>5</v>
      </c>
      <c r="L383" s="1">
        <v>42345</v>
      </c>
      <c r="M383" s="1" t="s">
        <v>9</v>
      </c>
    </row>
    <row r="384" spans="1:13" x14ac:dyDescent="0.25">
      <c r="A384">
        <v>1383</v>
      </c>
      <c r="B384">
        <v>34</v>
      </c>
      <c r="C384" t="s">
        <v>31</v>
      </c>
      <c r="D384" t="s">
        <v>23</v>
      </c>
      <c r="E384" t="s">
        <v>34</v>
      </c>
      <c r="F384" t="s">
        <v>29</v>
      </c>
      <c r="G384">
        <v>88953</v>
      </c>
      <c r="H384">
        <v>28</v>
      </c>
      <c r="I384">
        <v>57</v>
      </c>
      <c r="J384">
        <v>4</v>
      </c>
      <c r="K384">
        <v>1</v>
      </c>
      <c r="L384" s="1">
        <v>44047</v>
      </c>
      <c r="M384" s="1" t="s">
        <v>9</v>
      </c>
    </row>
    <row r="385" spans="1:13" x14ac:dyDescent="0.25">
      <c r="A385">
        <v>1384</v>
      </c>
      <c r="B385">
        <v>49</v>
      </c>
      <c r="C385" t="s">
        <v>32</v>
      </c>
      <c r="D385" t="s">
        <v>22</v>
      </c>
      <c r="E385" t="s">
        <v>25</v>
      </c>
      <c r="F385" t="s">
        <v>17</v>
      </c>
      <c r="G385">
        <v>51743</v>
      </c>
      <c r="H385">
        <v>25</v>
      </c>
      <c r="I385">
        <v>7</v>
      </c>
      <c r="J385">
        <v>4</v>
      </c>
      <c r="K385">
        <v>10</v>
      </c>
      <c r="L385" s="1">
        <v>44249</v>
      </c>
      <c r="M385" s="1" t="s">
        <v>9</v>
      </c>
    </row>
    <row r="386" spans="1:13" x14ac:dyDescent="0.25">
      <c r="A386">
        <v>1385</v>
      </c>
      <c r="B386">
        <v>42</v>
      </c>
      <c r="C386" t="s">
        <v>32</v>
      </c>
      <c r="D386" t="s">
        <v>19</v>
      </c>
      <c r="E386" t="s">
        <v>39</v>
      </c>
      <c r="F386" t="s">
        <v>40</v>
      </c>
      <c r="G386">
        <v>108942</v>
      </c>
      <c r="H386">
        <v>11</v>
      </c>
      <c r="I386">
        <v>57</v>
      </c>
      <c r="J386">
        <v>1</v>
      </c>
      <c r="K386">
        <v>2</v>
      </c>
      <c r="L386" s="1">
        <v>42829</v>
      </c>
      <c r="M386" s="1" t="s">
        <v>9</v>
      </c>
    </row>
    <row r="387" spans="1:13" x14ac:dyDescent="0.25">
      <c r="A387">
        <v>1386</v>
      </c>
      <c r="B387">
        <v>54</v>
      </c>
      <c r="C387" t="s">
        <v>33</v>
      </c>
      <c r="D387" t="s">
        <v>19</v>
      </c>
      <c r="E387" t="s">
        <v>39</v>
      </c>
      <c r="F387" t="s">
        <v>26</v>
      </c>
      <c r="G387">
        <v>53788</v>
      </c>
      <c r="H387">
        <v>25</v>
      </c>
      <c r="I387">
        <v>2</v>
      </c>
      <c r="J387">
        <v>5</v>
      </c>
      <c r="K387">
        <v>2</v>
      </c>
      <c r="L387" s="1">
        <v>42110</v>
      </c>
      <c r="M387" s="1" t="s">
        <v>9</v>
      </c>
    </row>
    <row r="388" spans="1:13" x14ac:dyDescent="0.25">
      <c r="A388">
        <v>1387</v>
      </c>
      <c r="B388">
        <v>21</v>
      </c>
      <c r="C388" t="s">
        <v>32</v>
      </c>
      <c r="D388" t="s">
        <v>23</v>
      </c>
      <c r="E388" t="s">
        <v>20</v>
      </c>
      <c r="F388" t="s">
        <v>18</v>
      </c>
      <c r="G388">
        <v>74760</v>
      </c>
      <c r="H388">
        <v>7</v>
      </c>
      <c r="I388">
        <v>35</v>
      </c>
      <c r="J388">
        <v>4</v>
      </c>
      <c r="K388">
        <v>10</v>
      </c>
      <c r="L388" s="1">
        <v>45247</v>
      </c>
      <c r="M388" s="1">
        <v>44293</v>
      </c>
    </row>
    <row r="389" spans="1:13" x14ac:dyDescent="0.25">
      <c r="A389">
        <v>1388</v>
      </c>
      <c r="B389">
        <v>36</v>
      </c>
      <c r="C389" t="s">
        <v>37</v>
      </c>
      <c r="D389" t="s">
        <v>19</v>
      </c>
      <c r="E389" t="s">
        <v>25</v>
      </c>
      <c r="F389" t="s">
        <v>29</v>
      </c>
      <c r="G389">
        <v>81546</v>
      </c>
      <c r="H389">
        <v>11</v>
      </c>
      <c r="I389">
        <v>13</v>
      </c>
      <c r="J389" t="s">
        <v>9</v>
      </c>
      <c r="K389">
        <v>4</v>
      </c>
      <c r="L389" s="1">
        <v>43581</v>
      </c>
      <c r="M389" s="1" t="s">
        <v>9</v>
      </c>
    </row>
    <row r="390" spans="1:13" x14ac:dyDescent="0.25">
      <c r="A390">
        <v>1389</v>
      </c>
      <c r="B390">
        <v>39</v>
      </c>
      <c r="C390" t="s">
        <v>43</v>
      </c>
      <c r="D390" t="s">
        <v>16</v>
      </c>
      <c r="E390" t="s">
        <v>25</v>
      </c>
      <c r="F390" t="s">
        <v>21</v>
      </c>
      <c r="G390">
        <v>66016</v>
      </c>
      <c r="H390">
        <v>13</v>
      </c>
      <c r="I390">
        <v>22</v>
      </c>
      <c r="J390">
        <v>5</v>
      </c>
      <c r="K390">
        <v>4</v>
      </c>
      <c r="L390" s="1">
        <v>44993</v>
      </c>
      <c r="M390" s="1">
        <v>43401</v>
      </c>
    </row>
    <row r="391" spans="1:13" x14ac:dyDescent="0.25">
      <c r="A391">
        <v>1390</v>
      </c>
      <c r="B391">
        <v>46</v>
      </c>
      <c r="C391" t="s">
        <v>31</v>
      </c>
      <c r="D391" t="s">
        <v>35</v>
      </c>
      <c r="E391" t="s">
        <v>20</v>
      </c>
      <c r="F391" t="s">
        <v>26</v>
      </c>
      <c r="G391">
        <v>93420</v>
      </c>
      <c r="H391">
        <v>3</v>
      </c>
      <c r="I391">
        <v>44</v>
      </c>
      <c r="J391">
        <v>1</v>
      </c>
      <c r="K391">
        <v>4</v>
      </c>
      <c r="L391" s="1">
        <v>42526</v>
      </c>
      <c r="M391" s="1">
        <v>43608</v>
      </c>
    </row>
    <row r="392" spans="1:13" x14ac:dyDescent="0.25">
      <c r="A392">
        <v>1391</v>
      </c>
      <c r="B392">
        <v>26</v>
      </c>
      <c r="C392" t="s">
        <v>43</v>
      </c>
      <c r="D392" t="s">
        <v>19</v>
      </c>
      <c r="E392" t="s">
        <v>41</v>
      </c>
      <c r="F392" t="s">
        <v>21</v>
      </c>
      <c r="G392">
        <v>87569</v>
      </c>
      <c r="H392">
        <v>15</v>
      </c>
      <c r="I392">
        <v>27</v>
      </c>
      <c r="J392">
        <v>3</v>
      </c>
      <c r="K392">
        <v>2</v>
      </c>
      <c r="L392" s="1">
        <v>42280</v>
      </c>
      <c r="M392" s="1" t="s">
        <v>9</v>
      </c>
    </row>
    <row r="393" spans="1:13" x14ac:dyDescent="0.25">
      <c r="A393">
        <v>1392</v>
      </c>
      <c r="B393">
        <v>48</v>
      </c>
      <c r="C393" t="s">
        <v>32</v>
      </c>
      <c r="D393" t="s">
        <v>19</v>
      </c>
      <c r="E393" t="s">
        <v>25</v>
      </c>
      <c r="F393" t="s">
        <v>26</v>
      </c>
      <c r="G393">
        <v>69513</v>
      </c>
      <c r="H393">
        <v>5</v>
      </c>
      <c r="I393">
        <v>37</v>
      </c>
      <c r="J393">
        <v>5</v>
      </c>
      <c r="K393">
        <v>4</v>
      </c>
      <c r="L393" s="1">
        <v>42622</v>
      </c>
      <c r="M393" s="1" t="s">
        <v>9</v>
      </c>
    </row>
    <row r="394" spans="1:13" x14ac:dyDescent="0.25">
      <c r="A394">
        <v>1393</v>
      </c>
      <c r="B394">
        <v>22</v>
      </c>
      <c r="C394" t="s">
        <v>32</v>
      </c>
      <c r="D394" t="s">
        <v>35</v>
      </c>
      <c r="E394" t="s">
        <v>20</v>
      </c>
      <c r="F394" t="s">
        <v>17</v>
      </c>
      <c r="G394">
        <v>97377</v>
      </c>
      <c r="H394">
        <v>30</v>
      </c>
      <c r="I394">
        <v>18</v>
      </c>
      <c r="J394">
        <v>3</v>
      </c>
      <c r="K394">
        <v>10</v>
      </c>
      <c r="L394" s="1">
        <v>45469</v>
      </c>
      <c r="M394" s="1">
        <v>44938</v>
      </c>
    </row>
    <row r="395" spans="1:13" x14ac:dyDescent="0.25">
      <c r="A395">
        <v>1394</v>
      </c>
      <c r="B395">
        <v>27</v>
      </c>
      <c r="C395" t="s">
        <v>31</v>
      </c>
      <c r="D395" t="s">
        <v>23</v>
      </c>
      <c r="E395" t="s">
        <v>25</v>
      </c>
      <c r="F395" t="s">
        <v>26</v>
      </c>
      <c r="G395">
        <v>72732</v>
      </c>
      <c r="H395">
        <v>26</v>
      </c>
      <c r="I395">
        <v>9</v>
      </c>
      <c r="J395">
        <v>5</v>
      </c>
      <c r="K395">
        <v>2</v>
      </c>
      <c r="L395" s="1">
        <v>43262</v>
      </c>
      <c r="M395" s="1" t="s">
        <v>9</v>
      </c>
    </row>
    <row r="396" spans="1:13" x14ac:dyDescent="0.25">
      <c r="A396">
        <v>1395</v>
      </c>
      <c r="B396">
        <v>27</v>
      </c>
      <c r="C396" t="s">
        <v>31</v>
      </c>
      <c r="D396" t="s">
        <v>16</v>
      </c>
      <c r="E396" t="s">
        <v>28</v>
      </c>
      <c r="F396" t="s">
        <v>40</v>
      </c>
      <c r="G396">
        <v>53548</v>
      </c>
      <c r="H396">
        <v>21</v>
      </c>
      <c r="I396">
        <v>59</v>
      </c>
      <c r="J396" t="s">
        <v>9</v>
      </c>
      <c r="K396">
        <v>2</v>
      </c>
      <c r="L396" s="1">
        <v>42836</v>
      </c>
      <c r="M396" s="1">
        <v>43902</v>
      </c>
    </row>
    <row r="397" spans="1:13" x14ac:dyDescent="0.25">
      <c r="A397">
        <v>1396</v>
      </c>
      <c r="B397">
        <v>50</v>
      </c>
      <c r="C397" t="s">
        <v>31</v>
      </c>
      <c r="D397" t="s">
        <v>36</v>
      </c>
      <c r="E397" t="s">
        <v>12</v>
      </c>
      <c r="F397" t="s">
        <v>15</v>
      </c>
      <c r="G397">
        <v>77975</v>
      </c>
      <c r="H397">
        <v>22</v>
      </c>
      <c r="I397">
        <v>21</v>
      </c>
      <c r="J397">
        <v>1</v>
      </c>
      <c r="K397">
        <v>10</v>
      </c>
      <c r="L397" s="1">
        <v>42413</v>
      </c>
      <c r="M397" s="1">
        <v>44668</v>
      </c>
    </row>
    <row r="398" spans="1:13" x14ac:dyDescent="0.25">
      <c r="A398">
        <v>1397</v>
      </c>
      <c r="B398">
        <v>40</v>
      </c>
      <c r="C398" t="s">
        <v>31</v>
      </c>
      <c r="D398" t="s">
        <v>27</v>
      </c>
      <c r="E398" t="s">
        <v>28</v>
      </c>
      <c r="F398" t="s">
        <v>15</v>
      </c>
      <c r="G398">
        <v>101852</v>
      </c>
      <c r="H398">
        <v>1</v>
      </c>
      <c r="I398">
        <v>10</v>
      </c>
      <c r="J398">
        <v>4</v>
      </c>
      <c r="K398">
        <v>4</v>
      </c>
      <c r="L398" s="1">
        <v>44543</v>
      </c>
      <c r="M398" s="1" t="s">
        <v>9</v>
      </c>
    </row>
    <row r="399" spans="1:13" x14ac:dyDescent="0.25">
      <c r="A399">
        <v>1398</v>
      </c>
      <c r="B399">
        <v>52</v>
      </c>
      <c r="C399" t="s">
        <v>31</v>
      </c>
      <c r="D399" t="s">
        <v>36</v>
      </c>
      <c r="E399" t="s">
        <v>28</v>
      </c>
      <c r="F399" t="s">
        <v>15</v>
      </c>
      <c r="G399">
        <v>53850</v>
      </c>
      <c r="H399">
        <v>24</v>
      </c>
      <c r="I399">
        <v>5</v>
      </c>
      <c r="J399">
        <v>4</v>
      </c>
      <c r="K399">
        <v>9</v>
      </c>
      <c r="L399" s="1">
        <v>42344</v>
      </c>
      <c r="M399" s="1">
        <v>43126</v>
      </c>
    </row>
    <row r="400" spans="1:13" x14ac:dyDescent="0.25">
      <c r="A400">
        <v>1399</v>
      </c>
      <c r="B400">
        <v>49</v>
      </c>
      <c r="C400" t="s">
        <v>43</v>
      </c>
      <c r="D400" t="s">
        <v>36</v>
      </c>
      <c r="E400" t="s">
        <v>20</v>
      </c>
      <c r="F400" t="s">
        <v>40</v>
      </c>
      <c r="G400">
        <v>92140</v>
      </c>
      <c r="H400">
        <v>16</v>
      </c>
      <c r="I400">
        <v>15</v>
      </c>
      <c r="J400">
        <v>3</v>
      </c>
      <c r="K400">
        <v>5</v>
      </c>
      <c r="L400" s="1">
        <v>43963</v>
      </c>
      <c r="M400" s="1">
        <v>44413</v>
      </c>
    </row>
    <row r="401" spans="1:13" x14ac:dyDescent="0.25">
      <c r="A401">
        <v>1400</v>
      </c>
      <c r="B401">
        <v>29</v>
      </c>
      <c r="C401" t="s">
        <v>31</v>
      </c>
      <c r="D401" t="s">
        <v>22</v>
      </c>
      <c r="E401" t="s">
        <v>14</v>
      </c>
      <c r="F401" t="s">
        <v>26</v>
      </c>
      <c r="G401">
        <v>109025</v>
      </c>
      <c r="H401">
        <v>8</v>
      </c>
      <c r="I401">
        <v>21</v>
      </c>
      <c r="J401">
        <v>1</v>
      </c>
      <c r="K401">
        <v>4</v>
      </c>
      <c r="L401" s="1">
        <v>44000</v>
      </c>
      <c r="M401" s="1" t="s">
        <v>9</v>
      </c>
    </row>
    <row r="402" spans="1:13" x14ac:dyDescent="0.25">
      <c r="A402">
        <v>1401</v>
      </c>
      <c r="B402">
        <v>44</v>
      </c>
      <c r="C402" t="s">
        <v>32</v>
      </c>
      <c r="D402" t="s">
        <v>22</v>
      </c>
      <c r="E402" t="s">
        <v>25</v>
      </c>
      <c r="F402" t="s">
        <v>21</v>
      </c>
      <c r="G402">
        <v>64124</v>
      </c>
      <c r="H402">
        <v>4</v>
      </c>
      <c r="I402">
        <v>40</v>
      </c>
      <c r="J402">
        <v>4</v>
      </c>
      <c r="K402">
        <v>4</v>
      </c>
      <c r="L402" s="1">
        <v>42564</v>
      </c>
      <c r="M402" s="1">
        <v>42597</v>
      </c>
    </row>
    <row r="403" spans="1:13" x14ac:dyDescent="0.25">
      <c r="A403">
        <v>1402</v>
      </c>
      <c r="B403">
        <v>28</v>
      </c>
      <c r="C403" t="s">
        <v>31</v>
      </c>
      <c r="D403" t="s">
        <v>36</v>
      </c>
      <c r="E403" t="s">
        <v>12</v>
      </c>
      <c r="F403" t="s">
        <v>26</v>
      </c>
      <c r="G403">
        <v>108818</v>
      </c>
      <c r="H403">
        <v>12</v>
      </c>
      <c r="I403">
        <v>3</v>
      </c>
      <c r="J403">
        <v>3</v>
      </c>
      <c r="K403">
        <v>4</v>
      </c>
      <c r="L403" s="1">
        <v>43784</v>
      </c>
      <c r="M403" s="1" t="s">
        <v>9</v>
      </c>
    </row>
    <row r="404" spans="1:13" x14ac:dyDescent="0.25">
      <c r="A404">
        <v>1403</v>
      </c>
      <c r="B404">
        <v>32</v>
      </c>
      <c r="C404" t="s">
        <v>32</v>
      </c>
      <c r="D404" t="s">
        <v>27</v>
      </c>
      <c r="E404" t="s">
        <v>41</v>
      </c>
      <c r="F404" t="s">
        <v>26</v>
      </c>
      <c r="G404">
        <v>95514</v>
      </c>
      <c r="H404">
        <v>11</v>
      </c>
      <c r="I404">
        <v>51</v>
      </c>
      <c r="J404" t="s">
        <v>9</v>
      </c>
      <c r="K404">
        <v>8</v>
      </c>
      <c r="L404" s="1">
        <v>44118</v>
      </c>
      <c r="M404" s="1" t="s">
        <v>9</v>
      </c>
    </row>
    <row r="405" spans="1:13" x14ac:dyDescent="0.25">
      <c r="A405">
        <v>1404</v>
      </c>
      <c r="B405">
        <v>58</v>
      </c>
      <c r="C405" t="s">
        <v>32</v>
      </c>
      <c r="D405" t="s">
        <v>16</v>
      </c>
      <c r="E405" t="s">
        <v>12</v>
      </c>
      <c r="F405" t="s">
        <v>21</v>
      </c>
      <c r="G405">
        <v>55875</v>
      </c>
      <c r="H405">
        <v>3</v>
      </c>
      <c r="I405">
        <v>32</v>
      </c>
      <c r="J405">
        <v>3</v>
      </c>
      <c r="K405">
        <v>10</v>
      </c>
      <c r="L405" s="1">
        <v>43021</v>
      </c>
      <c r="M405" s="1" t="s">
        <v>9</v>
      </c>
    </row>
    <row r="406" spans="1:13" x14ac:dyDescent="0.25">
      <c r="A406">
        <v>1405</v>
      </c>
      <c r="B406">
        <v>58</v>
      </c>
      <c r="C406" t="s">
        <v>31</v>
      </c>
      <c r="D406" t="s">
        <v>23</v>
      </c>
      <c r="E406" t="s">
        <v>14</v>
      </c>
      <c r="F406" t="s">
        <v>15</v>
      </c>
      <c r="G406">
        <v>83652</v>
      </c>
      <c r="H406">
        <v>8</v>
      </c>
      <c r="I406">
        <v>43</v>
      </c>
      <c r="J406">
        <v>4</v>
      </c>
      <c r="K406">
        <v>4</v>
      </c>
      <c r="L406" s="1">
        <v>44807</v>
      </c>
      <c r="M406" s="1">
        <v>42627</v>
      </c>
    </row>
    <row r="407" spans="1:13" x14ac:dyDescent="0.25">
      <c r="A407">
        <v>1406</v>
      </c>
      <c r="B407">
        <v>45</v>
      </c>
      <c r="C407" t="s">
        <v>32</v>
      </c>
      <c r="D407" t="s">
        <v>19</v>
      </c>
      <c r="E407" t="s">
        <v>34</v>
      </c>
      <c r="F407" t="s">
        <v>42</v>
      </c>
      <c r="G407">
        <v>61898</v>
      </c>
      <c r="H407">
        <v>3</v>
      </c>
      <c r="I407">
        <v>11</v>
      </c>
      <c r="J407">
        <v>4</v>
      </c>
      <c r="K407">
        <v>7</v>
      </c>
      <c r="L407" s="1">
        <v>44497</v>
      </c>
      <c r="M407" s="1" t="s">
        <v>9</v>
      </c>
    </row>
    <row r="408" spans="1:13" x14ac:dyDescent="0.25">
      <c r="A408">
        <v>1407</v>
      </c>
      <c r="B408">
        <v>56</v>
      </c>
      <c r="C408" t="s">
        <v>32</v>
      </c>
      <c r="D408" t="s">
        <v>16</v>
      </c>
      <c r="E408" t="s">
        <v>20</v>
      </c>
      <c r="F408" t="s">
        <v>24</v>
      </c>
      <c r="G408">
        <v>57963</v>
      </c>
      <c r="H408">
        <v>7</v>
      </c>
      <c r="I408">
        <v>2</v>
      </c>
      <c r="J408">
        <v>1</v>
      </c>
      <c r="K408">
        <v>4</v>
      </c>
      <c r="L408" s="1">
        <v>42970</v>
      </c>
      <c r="M408" s="1" t="s">
        <v>9</v>
      </c>
    </row>
    <row r="409" spans="1:13" x14ac:dyDescent="0.25">
      <c r="A409">
        <v>1408</v>
      </c>
      <c r="B409">
        <v>55</v>
      </c>
      <c r="C409" t="s">
        <v>37</v>
      </c>
      <c r="D409" t="s">
        <v>38</v>
      </c>
      <c r="E409" t="s">
        <v>20</v>
      </c>
      <c r="F409" t="s">
        <v>24</v>
      </c>
      <c r="G409">
        <v>64490</v>
      </c>
      <c r="H409">
        <v>8</v>
      </c>
      <c r="I409">
        <v>51</v>
      </c>
      <c r="J409">
        <v>4</v>
      </c>
      <c r="K409">
        <v>6</v>
      </c>
      <c r="L409" s="1">
        <v>42773</v>
      </c>
      <c r="M409" s="1" t="s">
        <v>9</v>
      </c>
    </row>
    <row r="410" spans="1:13" x14ac:dyDescent="0.25">
      <c r="A410">
        <v>1409</v>
      </c>
      <c r="B410">
        <v>42</v>
      </c>
      <c r="C410" t="s">
        <v>32</v>
      </c>
      <c r="D410" t="s">
        <v>35</v>
      </c>
      <c r="E410" t="s">
        <v>28</v>
      </c>
      <c r="F410" t="s">
        <v>26</v>
      </c>
      <c r="G410">
        <v>82651</v>
      </c>
      <c r="H410">
        <v>1</v>
      </c>
      <c r="I410">
        <v>2</v>
      </c>
      <c r="J410">
        <v>1</v>
      </c>
      <c r="K410">
        <v>5</v>
      </c>
      <c r="L410" s="1">
        <v>42917</v>
      </c>
      <c r="M410" s="1" t="s">
        <v>9</v>
      </c>
    </row>
    <row r="411" spans="1:13" x14ac:dyDescent="0.25">
      <c r="A411">
        <v>1410</v>
      </c>
      <c r="B411">
        <v>53</v>
      </c>
      <c r="C411" t="s">
        <v>31</v>
      </c>
      <c r="D411" t="s">
        <v>13</v>
      </c>
      <c r="E411" t="s">
        <v>28</v>
      </c>
      <c r="F411" t="s">
        <v>15</v>
      </c>
      <c r="G411">
        <v>93510</v>
      </c>
      <c r="H411">
        <v>30</v>
      </c>
      <c r="I411">
        <v>52</v>
      </c>
      <c r="J411">
        <v>5</v>
      </c>
      <c r="K411">
        <v>4</v>
      </c>
      <c r="L411" s="1">
        <v>42061</v>
      </c>
      <c r="M411" s="1" t="s">
        <v>9</v>
      </c>
    </row>
    <row r="412" spans="1:13" x14ac:dyDescent="0.25">
      <c r="A412">
        <v>1411</v>
      </c>
      <c r="B412">
        <v>43</v>
      </c>
      <c r="C412" t="s">
        <v>32</v>
      </c>
      <c r="D412" t="s">
        <v>22</v>
      </c>
      <c r="E412" t="s">
        <v>25</v>
      </c>
      <c r="F412" t="s">
        <v>15</v>
      </c>
      <c r="G412">
        <v>94729</v>
      </c>
      <c r="H412">
        <v>23</v>
      </c>
      <c r="I412">
        <v>59</v>
      </c>
      <c r="J412">
        <v>1</v>
      </c>
      <c r="K412">
        <v>5</v>
      </c>
      <c r="L412" s="1">
        <v>44594</v>
      </c>
      <c r="M412" s="1" t="s">
        <v>9</v>
      </c>
    </row>
    <row r="413" spans="1:13" x14ac:dyDescent="0.25">
      <c r="A413">
        <v>1412</v>
      </c>
      <c r="B413">
        <v>21</v>
      </c>
      <c r="C413" t="s">
        <v>32</v>
      </c>
      <c r="D413" t="s">
        <v>38</v>
      </c>
      <c r="E413" t="s">
        <v>28</v>
      </c>
      <c r="F413" t="s">
        <v>42</v>
      </c>
      <c r="G413">
        <v>84125</v>
      </c>
      <c r="H413">
        <v>17</v>
      </c>
      <c r="I413">
        <v>2</v>
      </c>
      <c r="J413">
        <v>5</v>
      </c>
      <c r="K413">
        <v>5</v>
      </c>
      <c r="L413" s="1">
        <v>45366</v>
      </c>
      <c r="M413" s="1" t="s">
        <v>9</v>
      </c>
    </row>
    <row r="414" spans="1:13" x14ac:dyDescent="0.25">
      <c r="A414">
        <v>1413</v>
      </c>
      <c r="B414">
        <v>22</v>
      </c>
      <c r="C414" t="s">
        <v>31</v>
      </c>
      <c r="D414" t="s">
        <v>36</v>
      </c>
      <c r="E414" t="s">
        <v>25</v>
      </c>
      <c r="F414" t="s">
        <v>26</v>
      </c>
      <c r="G414">
        <v>56402</v>
      </c>
      <c r="H414">
        <v>9</v>
      </c>
      <c r="I414">
        <v>12</v>
      </c>
      <c r="J414">
        <v>4</v>
      </c>
      <c r="K414">
        <v>3</v>
      </c>
      <c r="L414" s="1">
        <v>43783</v>
      </c>
      <c r="M414" s="1" t="s">
        <v>9</v>
      </c>
    </row>
    <row r="415" spans="1:13" x14ac:dyDescent="0.25">
      <c r="A415">
        <v>1414</v>
      </c>
      <c r="B415">
        <v>54</v>
      </c>
      <c r="C415" t="s">
        <v>31</v>
      </c>
      <c r="D415" t="s">
        <v>16</v>
      </c>
      <c r="E415" t="s">
        <v>12</v>
      </c>
      <c r="F415" t="s">
        <v>26</v>
      </c>
      <c r="G415">
        <v>67099</v>
      </c>
      <c r="H415">
        <v>28</v>
      </c>
      <c r="I415">
        <v>43</v>
      </c>
      <c r="J415">
        <v>3</v>
      </c>
      <c r="K415">
        <v>6</v>
      </c>
      <c r="L415" s="1">
        <v>44125</v>
      </c>
      <c r="M415" s="1" t="s">
        <v>9</v>
      </c>
    </row>
    <row r="416" spans="1:13" x14ac:dyDescent="0.25">
      <c r="A416">
        <v>1415</v>
      </c>
      <c r="B416">
        <v>46</v>
      </c>
      <c r="C416" t="s">
        <v>31</v>
      </c>
      <c r="D416" t="s">
        <v>23</v>
      </c>
      <c r="E416" t="s">
        <v>28</v>
      </c>
      <c r="F416" t="s">
        <v>18</v>
      </c>
      <c r="G416">
        <v>67870</v>
      </c>
      <c r="H416">
        <v>1</v>
      </c>
      <c r="I416">
        <v>26</v>
      </c>
      <c r="J416">
        <v>3</v>
      </c>
      <c r="K416">
        <v>2</v>
      </c>
      <c r="L416" s="1">
        <v>42955</v>
      </c>
      <c r="M416" s="1">
        <v>44202</v>
      </c>
    </row>
    <row r="417" spans="1:13" x14ac:dyDescent="0.25">
      <c r="A417">
        <v>1416</v>
      </c>
      <c r="B417">
        <v>32</v>
      </c>
      <c r="C417" t="s">
        <v>32</v>
      </c>
      <c r="D417" t="s">
        <v>23</v>
      </c>
      <c r="E417" t="s">
        <v>20</v>
      </c>
      <c r="F417" t="s">
        <v>40</v>
      </c>
      <c r="G417">
        <v>79040</v>
      </c>
      <c r="H417">
        <v>5</v>
      </c>
      <c r="I417">
        <v>14</v>
      </c>
      <c r="J417">
        <v>4</v>
      </c>
      <c r="K417">
        <v>7</v>
      </c>
      <c r="L417" s="1">
        <v>44853</v>
      </c>
      <c r="M417" s="1" t="s">
        <v>9</v>
      </c>
    </row>
    <row r="418" spans="1:13" x14ac:dyDescent="0.25">
      <c r="A418">
        <v>1417</v>
      </c>
      <c r="B418">
        <v>33</v>
      </c>
      <c r="C418" t="s">
        <v>31</v>
      </c>
      <c r="D418" t="s">
        <v>38</v>
      </c>
      <c r="E418" t="s">
        <v>14</v>
      </c>
      <c r="F418" t="s">
        <v>26</v>
      </c>
      <c r="G418">
        <v>100966</v>
      </c>
      <c r="H418">
        <v>27</v>
      </c>
      <c r="I418">
        <v>24</v>
      </c>
      <c r="J418" t="s">
        <v>9</v>
      </c>
      <c r="K418">
        <v>8</v>
      </c>
      <c r="L418" s="1">
        <v>45146</v>
      </c>
      <c r="M418" s="1" t="s">
        <v>9</v>
      </c>
    </row>
    <row r="419" spans="1:13" x14ac:dyDescent="0.25">
      <c r="A419">
        <v>1418</v>
      </c>
      <c r="B419">
        <v>23</v>
      </c>
      <c r="C419" t="s">
        <v>32</v>
      </c>
      <c r="D419" t="s">
        <v>36</v>
      </c>
      <c r="E419" t="s">
        <v>28</v>
      </c>
      <c r="F419" t="s">
        <v>29</v>
      </c>
      <c r="G419">
        <v>54880</v>
      </c>
      <c r="H419">
        <v>4</v>
      </c>
      <c r="I419">
        <v>58</v>
      </c>
      <c r="J419">
        <v>3</v>
      </c>
      <c r="K419">
        <v>3</v>
      </c>
      <c r="L419" s="1">
        <v>42525</v>
      </c>
      <c r="M419" s="1" t="s">
        <v>9</v>
      </c>
    </row>
    <row r="420" spans="1:13" x14ac:dyDescent="0.25">
      <c r="A420">
        <v>1419</v>
      </c>
      <c r="B420">
        <v>39</v>
      </c>
      <c r="C420" t="s">
        <v>32</v>
      </c>
      <c r="D420" t="s">
        <v>23</v>
      </c>
      <c r="E420" t="s">
        <v>25</v>
      </c>
      <c r="F420" t="s">
        <v>42</v>
      </c>
      <c r="G420">
        <v>74190</v>
      </c>
      <c r="H420">
        <v>9</v>
      </c>
      <c r="I420">
        <v>49</v>
      </c>
      <c r="J420">
        <v>5</v>
      </c>
      <c r="K420">
        <v>3</v>
      </c>
      <c r="L420" s="1">
        <v>44737</v>
      </c>
      <c r="M420" s="1" t="s">
        <v>9</v>
      </c>
    </row>
    <row r="421" spans="1:13" x14ac:dyDescent="0.25">
      <c r="A421">
        <v>1420</v>
      </c>
      <c r="B421">
        <v>25</v>
      </c>
      <c r="C421" t="s">
        <v>32</v>
      </c>
      <c r="D421" t="s">
        <v>16</v>
      </c>
      <c r="E421" t="s">
        <v>34</v>
      </c>
      <c r="F421" t="s">
        <v>26</v>
      </c>
      <c r="G421">
        <v>100667</v>
      </c>
      <c r="H421">
        <v>7</v>
      </c>
      <c r="I421">
        <v>18</v>
      </c>
      <c r="J421">
        <v>4</v>
      </c>
      <c r="K421">
        <v>5</v>
      </c>
      <c r="L421" s="1">
        <v>42725</v>
      </c>
      <c r="M421" s="1">
        <v>43927</v>
      </c>
    </row>
    <row r="422" spans="1:13" x14ac:dyDescent="0.25">
      <c r="A422">
        <v>1421</v>
      </c>
      <c r="B422">
        <v>34</v>
      </c>
      <c r="C422" t="s">
        <v>37</v>
      </c>
      <c r="D422" t="s">
        <v>16</v>
      </c>
      <c r="E422" t="s">
        <v>14</v>
      </c>
      <c r="F422" t="s">
        <v>21</v>
      </c>
      <c r="G422">
        <v>79660</v>
      </c>
      <c r="H422">
        <v>0</v>
      </c>
      <c r="I422">
        <v>38</v>
      </c>
      <c r="J422">
        <v>5</v>
      </c>
      <c r="K422">
        <v>8</v>
      </c>
      <c r="L422" s="1">
        <v>42649</v>
      </c>
      <c r="M422" s="1">
        <v>44337</v>
      </c>
    </row>
    <row r="423" spans="1:13" x14ac:dyDescent="0.25">
      <c r="A423">
        <v>1422</v>
      </c>
      <c r="B423">
        <v>53</v>
      </c>
      <c r="C423" t="s">
        <v>31</v>
      </c>
      <c r="D423" t="s">
        <v>13</v>
      </c>
      <c r="E423" t="s">
        <v>25</v>
      </c>
      <c r="F423" t="s">
        <v>44</v>
      </c>
      <c r="G423">
        <v>51308</v>
      </c>
      <c r="H423">
        <v>15</v>
      </c>
      <c r="I423">
        <v>2</v>
      </c>
      <c r="J423">
        <v>5</v>
      </c>
      <c r="K423">
        <v>10</v>
      </c>
      <c r="L423" s="1">
        <v>45092</v>
      </c>
      <c r="M423" s="1">
        <v>44968</v>
      </c>
    </row>
    <row r="424" spans="1:13" x14ac:dyDescent="0.25">
      <c r="A424">
        <v>1423</v>
      </c>
      <c r="B424">
        <v>22</v>
      </c>
      <c r="C424" t="s">
        <v>32</v>
      </c>
      <c r="D424" t="s">
        <v>27</v>
      </c>
      <c r="E424" t="s">
        <v>14</v>
      </c>
      <c r="F424" t="s">
        <v>24</v>
      </c>
      <c r="G424">
        <v>98780</v>
      </c>
      <c r="H424">
        <v>4</v>
      </c>
      <c r="I424">
        <v>57</v>
      </c>
      <c r="J424">
        <v>3</v>
      </c>
      <c r="K424">
        <v>5</v>
      </c>
      <c r="L424" s="1">
        <v>43077</v>
      </c>
      <c r="M424" s="1" t="s">
        <v>9</v>
      </c>
    </row>
    <row r="425" spans="1:13" x14ac:dyDescent="0.25">
      <c r="A425">
        <v>1424</v>
      </c>
      <c r="B425">
        <v>51</v>
      </c>
      <c r="C425" t="s">
        <v>31</v>
      </c>
      <c r="D425" t="s">
        <v>27</v>
      </c>
      <c r="E425" t="s">
        <v>12</v>
      </c>
      <c r="F425" t="s">
        <v>44</v>
      </c>
      <c r="G425">
        <v>79078</v>
      </c>
      <c r="H425">
        <v>13</v>
      </c>
      <c r="I425">
        <v>60</v>
      </c>
      <c r="J425">
        <v>5</v>
      </c>
      <c r="K425">
        <v>1</v>
      </c>
      <c r="L425" s="1">
        <v>42110</v>
      </c>
      <c r="M425" s="1">
        <v>42901</v>
      </c>
    </row>
    <row r="426" spans="1:13" x14ac:dyDescent="0.25">
      <c r="A426">
        <v>1425</v>
      </c>
      <c r="B426">
        <v>46</v>
      </c>
      <c r="C426" t="s">
        <v>37</v>
      </c>
      <c r="D426" t="s">
        <v>22</v>
      </c>
      <c r="E426" t="s">
        <v>14</v>
      </c>
      <c r="F426" t="s">
        <v>29</v>
      </c>
      <c r="G426">
        <v>107847</v>
      </c>
      <c r="H426">
        <v>7</v>
      </c>
      <c r="I426">
        <v>45</v>
      </c>
      <c r="J426">
        <v>3</v>
      </c>
      <c r="K426">
        <v>6</v>
      </c>
      <c r="L426" s="1">
        <v>43425</v>
      </c>
      <c r="M426" s="1" t="s">
        <v>9</v>
      </c>
    </row>
    <row r="427" spans="1:13" x14ac:dyDescent="0.25">
      <c r="A427">
        <v>1426</v>
      </c>
      <c r="B427">
        <v>29</v>
      </c>
      <c r="C427" t="s">
        <v>32</v>
      </c>
      <c r="D427" t="s">
        <v>16</v>
      </c>
      <c r="E427" t="s">
        <v>14</v>
      </c>
      <c r="F427" t="s">
        <v>17</v>
      </c>
      <c r="G427">
        <v>96387</v>
      </c>
      <c r="H427">
        <v>23</v>
      </c>
      <c r="I427">
        <v>20</v>
      </c>
      <c r="J427">
        <v>1</v>
      </c>
      <c r="K427">
        <v>8</v>
      </c>
      <c r="L427" s="1">
        <v>42511</v>
      </c>
      <c r="M427" s="1" t="s">
        <v>9</v>
      </c>
    </row>
    <row r="428" spans="1:13" x14ac:dyDescent="0.25">
      <c r="A428">
        <v>1427</v>
      </c>
      <c r="B428">
        <v>42</v>
      </c>
      <c r="C428" t="s">
        <v>32</v>
      </c>
      <c r="D428" t="s">
        <v>27</v>
      </c>
      <c r="E428" t="s">
        <v>25</v>
      </c>
      <c r="F428" t="s">
        <v>24</v>
      </c>
      <c r="G428">
        <v>60852</v>
      </c>
      <c r="H428">
        <v>1</v>
      </c>
      <c r="I428">
        <v>58</v>
      </c>
      <c r="J428">
        <v>3</v>
      </c>
      <c r="K428">
        <v>8</v>
      </c>
      <c r="L428" s="1">
        <v>42226</v>
      </c>
      <c r="M428" s="1" t="s">
        <v>9</v>
      </c>
    </row>
    <row r="429" spans="1:13" x14ac:dyDescent="0.25">
      <c r="A429">
        <v>1428</v>
      </c>
      <c r="B429">
        <v>38</v>
      </c>
      <c r="C429" t="s">
        <v>32</v>
      </c>
      <c r="D429" t="s">
        <v>16</v>
      </c>
      <c r="E429" t="s">
        <v>25</v>
      </c>
      <c r="F429" t="s">
        <v>24</v>
      </c>
      <c r="G429">
        <v>83444</v>
      </c>
      <c r="H429">
        <v>1</v>
      </c>
      <c r="I429">
        <v>57</v>
      </c>
      <c r="J429" t="s">
        <v>9</v>
      </c>
      <c r="K429">
        <v>10</v>
      </c>
      <c r="L429" s="1">
        <v>43660</v>
      </c>
      <c r="M429" s="1" t="s">
        <v>9</v>
      </c>
    </row>
    <row r="430" spans="1:13" x14ac:dyDescent="0.25">
      <c r="A430">
        <v>1429</v>
      </c>
      <c r="B430">
        <v>25</v>
      </c>
      <c r="C430" t="s">
        <v>32</v>
      </c>
      <c r="D430" t="s">
        <v>38</v>
      </c>
      <c r="E430" t="s">
        <v>25</v>
      </c>
      <c r="F430" t="s">
        <v>42</v>
      </c>
      <c r="G430">
        <v>74070</v>
      </c>
      <c r="H430">
        <v>2</v>
      </c>
      <c r="I430">
        <v>38</v>
      </c>
      <c r="J430">
        <v>4</v>
      </c>
      <c r="K430">
        <v>8</v>
      </c>
      <c r="L430" s="1">
        <v>44055</v>
      </c>
      <c r="M430" s="1" t="s">
        <v>9</v>
      </c>
    </row>
    <row r="431" spans="1:13" x14ac:dyDescent="0.25">
      <c r="A431">
        <v>1430</v>
      </c>
      <c r="B431">
        <v>53</v>
      </c>
      <c r="C431" t="s">
        <v>31</v>
      </c>
      <c r="D431" t="s">
        <v>13</v>
      </c>
      <c r="E431" t="s">
        <v>25</v>
      </c>
      <c r="F431" t="s">
        <v>18</v>
      </c>
      <c r="G431">
        <v>84739</v>
      </c>
      <c r="H431">
        <v>26</v>
      </c>
      <c r="I431">
        <v>37</v>
      </c>
      <c r="J431">
        <v>2</v>
      </c>
      <c r="K431">
        <v>3</v>
      </c>
      <c r="L431" s="1">
        <v>43065</v>
      </c>
      <c r="M431" s="1" t="s">
        <v>9</v>
      </c>
    </row>
    <row r="432" spans="1:13" x14ac:dyDescent="0.25">
      <c r="A432">
        <v>1431</v>
      </c>
      <c r="B432">
        <v>42</v>
      </c>
      <c r="C432" t="s">
        <v>32</v>
      </c>
      <c r="D432" t="s">
        <v>13</v>
      </c>
      <c r="E432" t="s">
        <v>12</v>
      </c>
      <c r="F432" t="s">
        <v>40</v>
      </c>
      <c r="G432">
        <v>102171</v>
      </c>
      <c r="H432">
        <v>19</v>
      </c>
      <c r="I432">
        <v>31</v>
      </c>
      <c r="J432">
        <v>1</v>
      </c>
      <c r="K432">
        <v>3</v>
      </c>
      <c r="L432" s="1">
        <v>42553</v>
      </c>
      <c r="M432" s="1" t="s">
        <v>9</v>
      </c>
    </row>
    <row r="433" spans="1:13" x14ac:dyDescent="0.25">
      <c r="A433">
        <v>1432</v>
      </c>
      <c r="B433">
        <v>40</v>
      </c>
      <c r="C433" t="s">
        <v>31</v>
      </c>
      <c r="D433" t="s">
        <v>35</v>
      </c>
      <c r="E433" t="s">
        <v>25</v>
      </c>
      <c r="F433" t="s">
        <v>24</v>
      </c>
      <c r="G433">
        <v>47705</v>
      </c>
      <c r="H433">
        <v>0</v>
      </c>
      <c r="I433">
        <v>14</v>
      </c>
      <c r="J433">
        <v>4</v>
      </c>
      <c r="K433">
        <v>6</v>
      </c>
      <c r="L433" s="1">
        <v>43500</v>
      </c>
      <c r="M433" s="1" t="s">
        <v>9</v>
      </c>
    </row>
    <row r="434" spans="1:13" x14ac:dyDescent="0.25">
      <c r="A434">
        <v>1433</v>
      </c>
      <c r="B434">
        <v>55</v>
      </c>
      <c r="C434" t="s">
        <v>37</v>
      </c>
      <c r="D434" t="s">
        <v>36</v>
      </c>
      <c r="E434" t="s">
        <v>14</v>
      </c>
      <c r="F434" t="s">
        <v>26</v>
      </c>
      <c r="G434">
        <v>46998</v>
      </c>
      <c r="H434">
        <v>6</v>
      </c>
      <c r="I434">
        <v>21</v>
      </c>
      <c r="J434" t="s">
        <v>9</v>
      </c>
      <c r="K434">
        <v>2</v>
      </c>
      <c r="L434" s="1">
        <v>44009</v>
      </c>
      <c r="M434" s="1" t="s">
        <v>9</v>
      </c>
    </row>
    <row r="435" spans="1:13" x14ac:dyDescent="0.25">
      <c r="A435">
        <v>1434</v>
      </c>
      <c r="B435">
        <v>27</v>
      </c>
      <c r="C435" t="s">
        <v>31</v>
      </c>
      <c r="D435" t="s">
        <v>13</v>
      </c>
      <c r="E435" t="s">
        <v>39</v>
      </c>
      <c r="F435" t="s">
        <v>29</v>
      </c>
      <c r="G435">
        <v>88699</v>
      </c>
      <c r="H435">
        <v>6</v>
      </c>
      <c r="I435">
        <v>27</v>
      </c>
      <c r="J435">
        <v>3</v>
      </c>
      <c r="K435">
        <v>6</v>
      </c>
      <c r="L435" s="1">
        <v>43054</v>
      </c>
      <c r="M435" s="1" t="s">
        <v>9</v>
      </c>
    </row>
    <row r="436" spans="1:13" x14ac:dyDescent="0.25">
      <c r="A436">
        <v>1435</v>
      </c>
      <c r="B436">
        <v>36</v>
      </c>
      <c r="C436" t="s">
        <v>37</v>
      </c>
      <c r="D436" t="s">
        <v>38</v>
      </c>
      <c r="E436" t="s">
        <v>14</v>
      </c>
      <c r="F436" t="s">
        <v>29</v>
      </c>
      <c r="G436">
        <v>90200</v>
      </c>
      <c r="H436">
        <v>1</v>
      </c>
      <c r="I436">
        <v>22</v>
      </c>
      <c r="J436" t="s">
        <v>9</v>
      </c>
      <c r="K436">
        <v>7</v>
      </c>
      <c r="L436" s="1">
        <v>42968</v>
      </c>
      <c r="M436" s="1" t="s">
        <v>9</v>
      </c>
    </row>
    <row r="437" spans="1:13" x14ac:dyDescent="0.25">
      <c r="A437">
        <v>1436</v>
      </c>
      <c r="B437">
        <v>52</v>
      </c>
      <c r="C437" t="s">
        <v>37</v>
      </c>
      <c r="D437" t="s">
        <v>27</v>
      </c>
      <c r="E437" t="s">
        <v>25</v>
      </c>
      <c r="F437" t="s">
        <v>40</v>
      </c>
      <c r="G437">
        <v>78581</v>
      </c>
      <c r="H437">
        <v>14</v>
      </c>
      <c r="I437">
        <v>9</v>
      </c>
      <c r="J437">
        <v>2</v>
      </c>
      <c r="K437">
        <v>4</v>
      </c>
      <c r="L437" s="1">
        <v>43653</v>
      </c>
      <c r="M437" s="1" t="s">
        <v>9</v>
      </c>
    </row>
    <row r="438" spans="1:13" x14ac:dyDescent="0.25">
      <c r="A438">
        <v>1437</v>
      </c>
      <c r="B438">
        <v>38</v>
      </c>
      <c r="C438" t="s">
        <v>33</v>
      </c>
      <c r="D438" t="s">
        <v>23</v>
      </c>
      <c r="E438" t="s">
        <v>25</v>
      </c>
      <c r="F438" t="s">
        <v>24</v>
      </c>
      <c r="G438">
        <v>88735</v>
      </c>
      <c r="H438">
        <v>19</v>
      </c>
      <c r="I438">
        <v>24</v>
      </c>
      <c r="J438">
        <v>1</v>
      </c>
      <c r="K438">
        <v>10</v>
      </c>
      <c r="L438" s="1">
        <v>45214</v>
      </c>
      <c r="M438" s="1" t="s">
        <v>9</v>
      </c>
    </row>
    <row r="439" spans="1:13" x14ac:dyDescent="0.25">
      <c r="A439">
        <v>1438</v>
      </c>
      <c r="B439">
        <v>41</v>
      </c>
      <c r="C439" t="s">
        <v>32</v>
      </c>
      <c r="D439" t="s">
        <v>22</v>
      </c>
      <c r="E439" t="s">
        <v>20</v>
      </c>
      <c r="F439" t="s">
        <v>17</v>
      </c>
      <c r="G439">
        <v>93373</v>
      </c>
      <c r="H439">
        <v>10</v>
      </c>
      <c r="I439">
        <v>26</v>
      </c>
      <c r="J439" t="s">
        <v>9</v>
      </c>
      <c r="K439">
        <v>9</v>
      </c>
      <c r="L439" s="1">
        <v>43502</v>
      </c>
      <c r="M439" s="1" t="s">
        <v>9</v>
      </c>
    </row>
    <row r="440" spans="1:13" x14ac:dyDescent="0.25">
      <c r="A440">
        <v>1439</v>
      </c>
      <c r="B440">
        <v>33</v>
      </c>
      <c r="C440" t="s">
        <v>31</v>
      </c>
      <c r="D440" t="s">
        <v>13</v>
      </c>
      <c r="E440" t="s">
        <v>28</v>
      </c>
      <c r="F440" t="s">
        <v>26</v>
      </c>
      <c r="G440">
        <v>54005</v>
      </c>
      <c r="H440">
        <v>25</v>
      </c>
      <c r="I440">
        <v>57</v>
      </c>
      <c r="J440">
        <v>2</v>
      </c>
      <c r="K440">
        <v>2</v>
      </c>
      <c r="L440" s="1">
        <v>43111</v>
      </c>
      <c r="M440" s="1">
        <v>43744</v>
      </c>
    </row>
    <row r="441" spans="1:13" x14ac:dyDescent="0.25">
      <c r="A441">
        <v>1440</v>
      </c>
      <c r="B441">
        <v>35</v>
      </c>
      <c r="C441" t="s">
        <v>32</v>
      </c>
      <c r="D441" t="s">
        <v>23</v>
      </c>
      <c r="E441" t="s">
        <v>28</v>
      </c>
      <c r="F441" t="s">
        <v>24</v>
      </c>
      <c r="G441">
        <v>91402</v>
      </c>
      <c r="H441">
        <v>2</v>
      </c>
      <c r="I441">
        <v>31</v>
      </c>
      <c r="J441">
        <v>4</v>
      </c>
      <c r="K441">
        <v>7</v>
      </c>
      <c r="L441" s="1">
        <v>45159</v>
      </c>
      <c r="M441" s="1" t="s">
        <v>9</v>
      </c>
    </row>
    <row r="442" spans="1:13" x14ac:dyDescent="0.25">
      <c r="A442">
        <v>1441</v>
      </c>
      <c r="B442">
        <v>59</v>
      </c>
      <c r="C442" t="s">
        <v>32</v>
      </c>
      <c r="D442" t="s">
        <v>13</v>
      </c>
      <c r="E442" t="s">
        <v>14</v>
      </c>
      <c r="F442" t="s">
        <v>17</v>
      </c>
      <c r="G442">
        <v>67366</v>
      </c>
      <c r="H442">
        <v>26</v>
      </c>
      <c r="I442">
        <v>30</v>
      </c>
      <c r="J442">
        <v>3</v>
      </c>
      <c r="K442">
        <v>3</v>
      </c>
      <c r="L442" s="1">
        <v>45250</v>
      </c>
      <c r="M442" s="1" t="s">
        <v>9</v>
      </c>
    </row>
    <row r="443" spans="1:13" x14ac:dyDescent="0.25">
      <c r="A443">
        <v>1442</v>
      </c>
      <c r="B443">
        <v>54</v>
      </c>
      <c r="C443" t="s">
        <v>32</v>
      </c>
      <c r="D443" t="s">
        <v>13</v>
      </c>
      <c r="E443" t="s">
        <v>12</v>
      </c>
      <c r="F443" t="s">
        <v>17</v>
      </c>
      <c r="G443">
        <v>64659</v>
      </c>
      <c r="H443">
        <v>18</v>
      </c>
      <c r="I443">
        <v>2</v>
      </c>
      <c r="J443">
        <v>5</v>
      </c>
      <c r="K443">
        <v>4</v>
      </c>
      <c r="L443" s="1">
        <v>45580</v>
      </c>
      <c r="M443" s="1">
        <v>45280</v>
      </c>
    </row>
    <row r="444" spans="1:13" x14ac:dyDescent="0.25">
      <c r="A444">
        <v>1443</v>
      </c>
      <c r="B444">
        <v>32</v>
      </c>
      <c r="C444" t="s">
        <v>33</v>
      </c>
      <c r="D444" t="s">
        <v>19</v>
      </c>
      <c r="E444" t="s">
        <v>28</v>
      </c>
      <c r="F444" t="s">
        <v>26</v>
      </c>
      <c r="G444">
        <v>71450</v>
      </c>
      <c r="H444">
        <v>10</v>
      </c>
      <c r="I444">
        <v>33</v>
      </c>
      <c r="J444">
        <v>1</v>
      </c>
      <c r="K444">
        <v>9</v>
      </c>
      <c r="L444" s="1">
        <v>43485</v>
      </c>
      <c r="M444" s="1">
        <v>42454</v>
      </c>
    </row>
    <row r="445" spans="1:13" x14ac:dyDescent="0.25">
      <c r="A445">
        <v>1444</v>
      </c>
      <c r="B445">
        <v>24</v>
      </c>
      <c r="C445" t="s">
        <v>32</v>
      </c>
      <c r="D445" t="s">
        <v>22</v>
      </c>
      <c r="E445" t="s">
        <v>25</v>
      </c>
      <c r="F445" t="s">
        <v>18</v>
      </c>
      <c r="G445">
        <v>55789</v>
      </c>
      <c r="H445">
        <v>7</v>
      </c>
      <c r="I445">
        <v>2</v>
      </c>
      <c r="J445">
        <v>3</v>
      </c>
      <c r="K445">
        <v>9</v>
      </c>
      <c r="L445" s="1">
        <v>42197</v>
      </c>
      <c r="M445" s="1">
        <v>44335</v>
      </c>
    </row>
    <row r="446" spans="1:13" x14ac:dyDescent="0.25">
      <c r="A446">
        <v>1445</v>
      </c>
      <c r="B446">
        <v>52</v>
      </c>
      <c r="C446" t="s">
        <v>32</v>
      </c>
      <c r="D446" t="s">
        <v>19</v>
      </c>
      <c r="E446" t="s">
        <v>20</v>
      </c>
      <c r="F446" t="s">
        <v>26</v>
      </c>
      <c r="G446">
        <v>91995</v>
      </c>
      <c r="H446">
        <v>24</v>
      </c>
      <c r="I446">
        <v>18</v>
      </c>
      <c r="J446" t="s">
        <v>9</v>
      </c>
      <c r="K446">
        <v>1</v>
      </c>
      <c r="L446" s="1">
        <v>43073</v>
      </c>
      <c r="M446" s="1" t="s">
        <v>9</v>
      </c>
    </row>
    <row r="447" spans="1:13" x14ac:dyDescent="0.25">
      <c r="A447">
        <v>1446</v>
      </c>
      <c r="B447">
        <v>40</v>
      </c>
      <c r="C447" t="s">
        <v>31</v>
      </c>
      <c r="D447" t="s">
        <v>13</v>
      </c>
      <c r="E447" t="s">
        <v>28</v>
      </c>
      <c r="F447" t="s">
        <v>17</v>
      </c>
      <c r="G447">
        <v>71036</v>
      </c>
      <c r="H447">
        <v>15</v>
      </c>
      <c r="I447">
        <v>37</v>
      </c>
      <c r="J447">
        <v>3</v>
      </c>
      <c r="K447">
        <v>10</v>
      </c>
      <c r="L447" s="1">
        <v>45159</v>
      </c>
      <c r="M447" s="1" t="s">
        <v>9</v>
      </c>
    </row>
    <row r="448" spans="1:13" x14ac:dyDescent="0.25">
      <c r="A448">
        <v>1447</v>
      </c>
      <c r="B448">
        <v>42</v>
      </c>
      <c r="C448" t="s">
        <v>32</v>
      </c>
      <c r="D448" t="s">
        <v>22</v>
      </c>
      <c r="E448" t="s">
        <v>28</v>
      </c>
      <c r="F448" t="s">
        <v>24</v>
      </c>
      <c r="G448">
        <v>93485</v>
      </c>
      <c r="H448">
        <v>25</v>
      </c>
      <c r="I448">
        <v>15</v>
      </c>
      <c r="J448">
        <v>2</v>
      </c>
      <c r="K448">
        <v>6</v>
      </c>
      <c r="L448" s="1">
        <v>42131</v>
      </c>
      <c r="M448" s="1">
        <v>44289</v>
      </c>
    </row>
    <row r="449" spans="1:13" x14ac:dyDescent="0.25">
      <c r="A449">
        <v>1448</v>
      </c>
      <c r="B449">
        <v>40</v>
      </c>
      <c r="C449" t="s">
        <v>31</v>
      </c>
      <c r="D449" t="s">
        <v>23</v>
      </c>
      <c r="E449" t="s">
        <v>41</v>
      </c>
      <c r="F449" t="s">
        <v>29</v>
      </c>
      <c r="G449">
        <v>51752</v>
      </c>
      <c r="H449">
        <v>5</v>
      </c>
      <c r="I449">
        <v>59</v>
      </c>
      <c r="J449" t="s">
        <v>9</v>
      </c>
      <c r="K449">
        <v>1</v>
      </c>
      <c r="L449" s="1">
        <v>45314</v>
      </c>
      <c r="M449" s="1" t="s">
        <v>9</v>
      </c>
    </row>
    <row r="450" spans="1:13" x14ac:dyDescent="0.25">
      <c r="A450">
        <v>1449</v>
      </c>
      <c r="B450">
        <v>45</v>
      </c>
      <c r="C450" t="s">
        <v>32</v>
      </c>
      <c r="D450" t="s">
        <v>13</v>
      </c>
      <c r="E450" t="s">
        <v>39</v>
      </c>
      <c r="F450" t="s">
        <v>42</v>
      </c>
      <c r="G450">
        <v>46544</v>
      </c>
      <c r="H450">
        <v>22</v>
      </c>
      <c r="I450">
        <v>14</v>
      </c>
      <c r="J450" t="s">
        <v>9</v>
      </c>
      <c r="K450">
        <v>3</v>
      </c>
      <c r="L450" s="1">
        <v>44997</v>
      </c>
      <c r="M450" s="1" t="s">
        <v>9</v>
      </c>
    </row>
    <row r="451" spans="1:13" x14ac:dyDescent="0.25">
      <c r="A451">
        <v>1450</v>
      </c>
      <c r="B451">
        <v>34</v>
      </c>
      <c r="C451" t="s">
        <v>31</v>
      </c>
      <c r="D451" t="s">
        <v>23</v>
      </c>
      <c r="E451" t="s">
        <v>41</v>
      </c>
      <c r="F451" t="s">
        <v>24</v>
      </c>
      <c r="G451">
        <v>103550</v>
      </c>
      <c r="H451">
        <v>30</v>
      </c>
      <c r="I451">
        <v>26</v>
      </c>
      <c r="J451">
        <v>5</v>
      </c>
      <c r="K451">
        <v>5</v>
      </c>
      <c r="L451" s="1">
        <v>42386</v>
      </c>
      <c r="M451" s="1" t="s">
        <v>9</v>
      </c>
    </row>
    <row r="452" spans="1:13" x14ac:dyDescent="0.25">
      <c r="A452">
        <v>1451</v>
      </c>
      <c r="B452">
        <v>36</v>
      </c>
      <c r="C452" t="s">
        <v>32</v>
      </c>
      <c r="D452" t="s">
        <v>27</v>
      </c>
      <c r="E452" t="s">
        <v>20</v>
      </c>
      <c r="F452" t="s">
        <v>40</v>
      </c>
      <c r="G452">
        <v>107286</v>
      </c>
      <c r="H452">
        <v>4</v>
      </c>
      <c r="I452">
        <v>31</v>
      </c>
      <c r="J452">
        <v>4</v>
      </c>
      <c r="K452">
        <v>4</v>
      </c>
      <c r="L452" s="1">
        <v>43477</v>
      </c>
      <c r="M452" s="1" t="s">
        <v>9</v>
      </c>
    </row>
    <row r="453" spans="1:13" x14ac:dyDescent="0.25">
      <c r="A453">
        <v>1452</v>
      </c>
      <c r="B453">
        <v>27</v>
      </c>
      <c r="C453" t="s">
        <v>31</v>
      </c>
      <c r="D453" t="s">
        <v>22</v>
      </c>
      <c r="E453" t="s">
        <v>12</v>
      </c>
      <c r="F453" t="s">
        <v>42</v>
      </c>
      <c r="G453">
        <v>74381</v>
      </c>
      <c r="H453">
        <v>8</v>
      </c>
      <c r="I453">
        <v>35</v>
      </c>
      <c r="J453">
        <v>2</v>
      </c>
      <c r="K453">
        <v>4</v>
      </c>
      <c r="L453" s="1">
        <v>45637</v>
      </c>
      <c r="M453" s="1" t="s">
        <v>9</v>
      </c>
    </row>
    <row r="454" spans="1:13" x14ac:dyDescent="0.25">
      <c r="A454">
        <v>1453</v>
      </c>
      <c r="B454">
        <v>38</v>
      </c>
      <c r="C454" t="s">
        <v>32</v>
      </c>
      <c r="D454" t="s">
        <v>23</v>
      </c>
      <c r="E454" t="s">
        <v>34</v>
      </c>
      <c r="F454" t="s">
        <v>17</v>
      </c>
      <c r="G454">
        <v>76251</v>
      </c>
      <c r="H454">
        <v>28</v>
      </c>
      <c r="I454">
        <v>30</v>
      </c>
      <c r="J454" t="s">
        <v>9</v>
      </c>
      <c r="K454">
        <v>1</v>
      </c>
      <c r="L454" s="1">
        <v>44185</v>
      </c>
      <c r="M454" s="1" t="s">
        <v>9</v>
      </c>
    </row>
    <row r="455" spans="1:13" x14ac:dyDescent="0.25">
      <c r="A455">
        <v>1454</v>
      </c>
      <c r="B455">
        <v>25</v>
      </c>
      <c r="C455" t="s">
        <v>31</v>
      </c>
      <c r="D455" t="s">
        <v>38</v>
      </c>
      <c r="E455" t="s">
        <v>14</v>
      </c>
      <c r="F455" t="s">
        <v>21</v>
      </c>
      <c r="G455">
        <v>94816</v>
      </c>
      <c r="H455">
        <v>21</v>
      </c>
      <c r="I455">
        <v>40</v>
      </c>
      <c r="J455">
        <v>4</v>
      </c>
      <c r="K455">
        <v>7</v>
      </c>
      <c r="L455" s="1">
        <v>42108</v>
      </c>
      <c r="M455" s="1" t="s">
        <v>9</v>
      </c>
    </row>
    <row r="456" spans="1:13" x14ac:dyDescent="0.25">
      <c r="A456">
        <v>1455</v>
      </c>
      <c r="B456">
        <v>23</v>
      </c>
      <c r="C456" t="s">
        <v>32</v>
      </c>
      <c r="D456" t="s">
        <v>13</v>
      </c>
      <c r="E456" t="s">
        <v>28</v>
      </c>
      <c r="F456" t="s">
        <v>29</v>
      </c>
      <c r="G456">
        <v>57370</v>
      </c>
      <c r="H456">
        <v>30</v>
      </c>
      <c r="I456">
        <v>44</v>
      </c>
      <c r="J456" t="s">
        <v>9</v>
      </c>
      <c r="K456">
        <v>7</v>
      </c>
      <c r="L456" s="1">
        <v>42618</v>
      </c>
      <c r="M456" s="1" t="s">
        <v>9</v>
      </c>
    </row>
    <row r="457" spans="1:13" x14ac:dyDescent="0.25">
      <c r="A457">
        <v>1456</v>
      </c>
      <c r="B457">
        <v>43</v>
      </c>
      <c r="C457" t="s">
        <v>32</v>
      </c>
      <c r="D457" t="s">
        <v>19</v>
      </c>
      <c r="E457" t="s">
        <v>34</v>
      </c>
      <c r="F457" t="s">
        <v>26</v>
      </c>
      <c r="G457">
        <v>52809</v>
      </c>
      <c r="H457">
        <v>4</v>
      </c>
      <c r="I457">
        <v>49</v>
      </c>
      <c r="J457">
        <v>3</v>
      </c>
      <c r="K457">
        <v>3</v>
      </c>
      <c r="L457" s="1">
        <v>44902</v>
      </c>
      <c r="M457" s="1">
        <v>43295</v>
      </c>
    </row>
    <row r="458" spans="1:13" x14ac:dyDescent="0.25">
      <c r="A458">
        <v>1457</v>
      </c>
      <c r="B458">
        <v>34</v>
      </c>
      <c r="C458" t="s">
        <v>31</v>
      </c>
      <c r="D458" t="s">
        <v>23</v>
      </c>
      <c r="E458" t="s">
        <v>28</v>
      </c>
      <c r="F458" t="s">
        <v>24</v>
      </c>
      <c r="G458">
        <v>58555</v>
      </c>
      <c r="H458">
        <v>22</v>
      </c>
      <c r="I458">
        <v>31</v>
      </c>
      <c r="J458">
        <v>3</v>
      </c>
      <c r="K458">
        <v>1</v>
      </c>
      <c r="L458" s="1">
        <v>43430</v>
      </c>
      <c r="M458" s="1">
        <v>44980</v>
      </c>
    </row>
    <row r="459" spans="1:13" x14ac:dyDescent="0.25">
      <c r="A459">
        <v>1458</v>
      </c>
      <c r="B459">
        <v>51</v>
      </c>
      <c r="C459" t="s">
        <v>32</v>
      </c>
      <c r="D459" t="s">
        <v>23</v>
      </c>
      <c r="E459" t="s">
        <v>25</v>
      </c>
      <c r="F459" t="s">
        <v>18</v>
      </c>
      <c r="G459">
        <v>99357</v>
      </c>
      <c r="H459">
        <v>15</v>
      </c>
      <c r="I459">
        <v>15</v>
      </c>
      <c r="J459">
        <v>4</v>
      </c>
      <c r="K459">
        <v>10</v>
      </c>
      <c r="L459" s="1">
        <v>45047</v>
      </c>
      <c r="M459" s="1">
        <v>44929</v>
      </c>
    </row>
    <row r="460" spans="1:13" x14ac:dyDescent="0.25">
      <c r="A460">
        <v>1459</v>
      </c>
      <c r="B460">
        <v>49</v>
      </c>
      <c r="C460" t="s">
        <v>32</v>
      </c>
      <c r="D460" t="s">
        <v>27</v>
      </c>
      <c r="E460" t="s">
        <v>20</v>
      </c>
      <c r="F460" t="s">
        <v>42</v>
      </c>
      <c r="G460">
        <v>67090</v>
      </c>
      <c r="H460">
        <v>17</v>
      </c>
      <c r="I460">
        <v>21</v>
      </c>
      <c r="J460">
        <v>5</v>
      </c>
      <c r="K460">
        <v>6</v>
      </c>
      <c r="L460" s="1">
        <v>43168</v>
      </c>
      <c r="M460" s="1" t="s">
        <v>9</v>
      </c>
    </row>
    <row r="461" spans="1:13" x14ac:dyDescent="0.25">
      <c r="A461">
        <v>1460</v>
      </c>
      <c r="B461">
        <v>54</v>
      </c>
      <c r="C461" t="s">
        <v>31</v>
      </c>
      <c r="D461" t="s">
        <v>27</v>
      </c>
      <c r="E461" t="s">
        <v>41</v>
      </c>
      <c r="F461" t="s">
        <v>24</v>
      </c>
      <c r="G461">
        <v>99343</v>
      </c>
      <c r="H461">
        <v>7</v>
      </c>
      <c r="I461">
        <v>34</v>
      </c>
      <c r="J461">
        <v>3</v>
      </c>
      <c r="K461">
        <v>10</v>
      </c>
      <c r="L461" s="1">
        <v>44190</v>
      </c>
      <c r="M461" s="1">
        <v>44729</v>
      </c>
    </row>
    <row r="462" spans="1:13" x14ac:dyDescent="0.25">
      <c r="A462">
        <v>1461</v>
      </c>
      <c r="B462">
        <v>33</v>
      </c>
      <c r="C462" t="s">
        <v>31</v>
      </c>
      <c r="D462" t="s">
        <v>36</v>
      </c>
      <c r="E462" t="s">
        <v>28</v>
      </c>
      <c r="F462" t="s">
        <v>21</v>
      </c>
      <c r="G462">
        <v>90620</v>
      </c>
      <c r="H462">
        <v>13</v>
      </c>
      <c r="I462">
        <v>2</v>
      </c>
      <c r="J462">
        <v>1</v>
      </c>
      <c r="K462">
        <v>1</v>
      </c>
      <c r="L462" s="1">
        <v>44974</v>
      </c>
      <c r="M462" s="1" t="s">
        <v>9</v>
      </c>
    </row>
    <row r="463" spans="1:13" x14ac:dyDescent="0.25">
      <c r="A463">
        <v>1462</v>
      </c>
      <c r="B463">
        <v>57</v>
      </c>
      <c r="C463" t="s">
        <v>31</v>
      </c>
      <c r="D463" t="s">
        <v>23</v>
      </c>
      <c r="E463" t="s">
        <v>39</v>
      </c>
      <c r="F463" t="s">
        <v>18</v>
      </c>
      <c r="G463">
        <v>64409</v>
      </c>
      <c r="H463">
        <v>15</v>
      </c>
      <c r="I463">
        <v>4</v>
      </c>
      <c r="J463">
        <v>5</v>
      </c>
      <c r="K463">
        <v>9</v>
      </c>
      <c r="L463" s="1">
        <v>43668</v>
      </c>
      <c r="M463" s="1" t="s">
        <v>9</v>
      </c>
    </row>
    <row r="464" spans="1:13" x14ac:dyDescent="0.25">
      <c r="A464">
        <v>1463</v>
      </c>
      <c r="B464">
        <v>52</v>
      </c>
      <c r="C464" t="s">
        <v>37</v>
      </c>
      <c r="D464" t="s">
        <v>19</v>
      </c>
      <c r="E464" t="s">
        <v>14</v>
      </c>
      <c r="F464" t="s">
        <v>40</v>
      </c>
      <c r="G464">
        <v>92944</v>
      </c>
      <c r="H464">
        <v>0</v>
      </c>
      <c r="I464">
        <v>39</v>
      </c>
      <c r="J464">
        <v>5</v>
      </c>
      <c r="K464">
        <v>8</v>
      </c>
      <c r="L464" s="1">
        <v>43043</v>
      </c>
      <c r="M464" s="1" t="s">
        <v>9</v>
      </c>
    </row>
    <row r="465" spans="1:13" x14ac:dyDescent="0.25">
      <c r="A465">
        <v>1464</v>
      </c>
      <c r="B465">
        <v>50</v>
      </c>
      <c r="C465" t="s">
        <v>31</v>
      </c>
      <c r="D465" t="s">
        <v>23</v>
      </c>
      <c r="E465" t="s">
        <v>25</v>
      </c>
      <c r="F465" t="s">
        <v>18</v>
      </c>
      <c r="G465">
        <v>77534</v>
      </c>
      <c r="H465">
        <v>7</v>
      </c>
      <c r="I465">
        <v>11</v>
      </c>
      <c r="J465">
        <v>1</v>
      </c>
      <c r="K465">
        <v>7</v>
      </c>
      <c r="L465" s="1">
        <v>45425</v>
      </c>
      <c r="M465" s="1">
        <v>44646</v>
      </c>
    </row>
    <row r="466" spans="1:13" x14ac:dyDescent="0.25">
      <c r="A466">
        <v>1465</v>
      </c>
      <c r="B466">
        <v>34</v>
      </c>
      <c r="C466" t="s">
        <v>31</v>
      </c>
      <c r="D466" t="s">
        <v>19</v>
      </c>
      <c r="E466" t="s">
        <v>14</v>
      </c>
      <c r="F466" t="s">
        <v>21</v>
      </c>
      <c r="G466">
        <v>82212</v>
      </c>
      <c r="H466">
        <v>3</v>
      </c>
      <c r="I466">
        <v>2</v>
      </c>
      <c r="J466">
        <v>5</v>
      </c>
      <c r="K466">
        <v>10</v>
      </c>
      <c r="L466" s="1">
        <v>43136</v>
      </c>
      <c r="M466" s="1" t="s">
        <v>9</v>
      </c>
    </row>
    <row r="467" spans="1:13" x14ac:dyDescent="0.25">
      <c r="A467">
        <v>1466</v>
      </c>
      <c r="B467">
        <v>49</v>
      </c>
      <c r="C467" t="s">
        <v>31</v>
      </c>
      <c r="D467" t="s">
        <v>22</v>
      </c>
      <c r="E467" t="s">
        <v>28</v>
      </c>
      <c r="F467" t="s">
        <v>26</v>
      </c>
      <c r="G467">
        <v>59297</v>
      </c>
      <c r="H467">
        <v>4</v>
      </c>
      <c r="I467">
        <v>0</v>
      </c>
      <c r="J467">
        <v>2</v>
      </c>
      <c r="K467">
        <v>7</v>
      </c>
      <c r="L467" s="1">
        <v>45557</v>
      </c>
      <c r="M467" s="1">
        <v>42985</v>
      </c>
    </row>
    <row r="468" spans="1:13" x14ac:dyDescent="0.25">
      <c r="A468">
        <v>1467</v>
      </c>
      <c r="B468">
        <v>30</v>
      </c>
      <c r="C468" t="s">
        <v>31</v>
      </c>
      <c r="D468" t="s">
        <v>27</v>
      </c>
      <c r="E468" t="s">
        <v>25</v>
      </c>
      <c r="F468" t="s">
        <v>18</v>
      </c>
      <c r="G468">
        <v>86581</v>
      </c>
      <c r="H468">
        <v>14</v>
      </c>
      <c r="I468">
        <v>46</v>
      </c>
      <c r="J468" t="s">
        <v>9</v>
      </c>
      <c r="K468">
        <v>2</v>
      </c>
      <c r="L468" s="1">
        <v>44548</v>
      </c>
      <c r="M468" s="1" t="s">
        <v>9</v>
      </c>
    </row>
    <row r="469" spans="1:13" x14ac:dyDescent="0.25">
      <c r="A469">
        <v>1468</v>
      </c>
      <c r="B469">
        <v>24</v>
      </c>
      <c r="C469" t="s">
        <v>32</v>
      </c>
      <c r="D469" t="s">
        <v>16</v>
      </c>
      <c r="E469" t="s">
        <v>25</v>
      </c>
      <c r="F469" t="s">
        <v>29</v>
      </c>
      <c r="G469">
        <v>67685</v>
      </c>
      <c r="H469">
        <v>6</v>
      </c>
      <c r="I469">
        <v>18</v>
      </c>
      <c r="J469">
        <v>4</v>
      </c>
      <c r="K469">
        <v>8</v>
      </c>
      <c r="L469" s="1">
        <v>42507</v>
      </c>
      <c r="M469" s="1" t="s">
        <v>9</v>
      </c>
    </row>
    <row r="470" spans="1:13" x14ac:dyDescent="0.25">
      <c r="A470">
        <v>1469</v>
      </c>
      <c r="B470">
        <v>53</v>
      </c>
      <c r="C470" t="s">
        <v>32</v>
      </c>
      <c r="D470" t="s">
        <v>16</v>
      </c>
      <c r="E470" t="s">
        <v>28</v>
      </c>
      <c r="F470" t="s">
        <v>18</v>
      </c>
      <c r="G470">
        <v>74213</v>
      </c>
      <c r="H470">
        <v>10</v>
      </c>
      <c r="I470">
        <v>55</v>
      </c>
      <c r="J470">
        <v>2</v>
      </c>
      <c r="K470">
        <v>8</v>
      </c>
      <c r="L470" s="1">
        <v>42230</v>
      </c>
      <c r="M470" s="1" t="s">
        <v>9</v>
      </c>
    </row>
    <row r="471" spans="1:13" x14ac:dyDescent="0.25">
      <c r="A471">
        <v>1470</v>
      </c>
      <c r="B471">
        <v>31</v>
      </c>
      <c r="C471" t="s">
        <v>32</v>
      </c>
      <c r="D471" t="s">
        <v>38</v>
      </c>
      <c r="E471" t="s">
        <v>25</v>
      </c>
      <c r="F471" t="s">
        <v>15</v>
      </c>
      <c r="G471">
        <v>101822</v>
      </c>
      <c r="H471">
        <v>3</v>
      </c>
      <c r="I471">
        <v>22</v>
      </c>
      <c r="J471" t="s">
        <v>9</v>
      </c>
      <c r="K471">
        <v>6</v>
      </c>
      <c r="L471" s="1">
        <v>45486</v>
      </c>
      <c r="M471" s="1" t="s">
        <v>9</v>
      </c>
    </row>
    <row r="472" spans="1:13" x14ac:dyDescent="0.25">
      <c r="A472">
        <v>1471</v>
      </c>
      <c r="B472">
        <v>57</v>
      </c>
      <c r="C472" t="s">
        <v>37</v>
      </c>
      <c r="D472" t="s">
        <v>16</v>
      </c>
      <c r="E472" t="s">
        <v>12</v>
      </c>
      <c r="F472" t="s">
        <v>17</v>
      </c>
      <c r="G472">
        <v>56944</v>
      </c>
      <c r="H472">
        <v>14</v>
      </c>
      <c r="I472">
        <v>14</v>
      </c>
      <c r="J472">
        <v>1</v>
      </c>
      <c r="K472">
        <v>7</v>
      </c>
      <c r="L472" s="1">
        <v>45460</v>
      </c>
      <c r="M472" s="1" t="s">
        <v>9</v>
      </c>
    </row>
    <row r="473" spans="1:13" x14ac:dyDescent="0.25">
      <c r="A473">
        <v>1472</v>
      </c>
      <c r="B473">
        <v>34</v>
      </c>
      <c r="C473" t="s">
        <v>32</v>
      </c>
      <c r="D473" t="s">
        <v>27</v>
      </c>
      <c r="E473" t="s">
        <v>20</v>
      </c>
      <c r="F473" t="s">
        <v>24</v>
      </c>
      <c r="G473">
        <v>83350</v>
      </c>
      <c r="H473">
        <v>7</v>
      </c>
      <c r="I473">
        <v>42</v>
      </c>
      <c r="J473">
        <v>1</v>
      </c>
      <c r="K473">
        <v>9</v>
      </c>
      <c r="L473" s="1">
        <v>45017</v>
      </c>
      <c r="M473" s="1" t="s">
        <v>9</v>
      </c>
    </row>
    <row r="474" spans="1:13" x14ac:dyDescent="0.25">
      <c r="A474">
        <v>1473</v>
      </c>
      <c r="B474">
        <v>36</v>
      </c>
      <c r="C474" t="s">
        <v>32</v>
      </c>
      <c r="D474" t="s">
        <v>16</v>
      </c>
      <c r="E474" t="s">
        <v>25</v>
      </c>
      <c r="F474" t="s">
        <v>42</v>
      </c>
      <c r="G474">
        <v>61380</v>
      </c>
      <c r="H474">
        <v>15</v>
      </c>
      <c r="I474">
        <v>19</v>
      </c>
      <c r="J474">
        <v>2</v>
      </c>
      <c r="K474">
        <v>1</v>
      </c>
      <c r="L474" s="1">
        <v>43617</v>
      </c>
      <c r="M474" s="1" t="s">
        <v>9</v>
      </c>
    </row>
    <row r="475" spans="1:13" x14ac:dyDescent="0.25">
      <c r="A475">
        <v>1474</v>
      </c>
      <c r="B475">
        <v>29</v>
      </c>
      <c r="C475" t="s">
        <v>37</v>
      </c>
      <c r="D475" t="s">
        <v>27</v>
      </c>
      <c r="E475" t="s">
        <v>25</v>
      </c>
      <c r="F475" t="s">
        <v>29</v>
      </c>
      <c r="G475">
        <v>89100</v>
      </c>
      <c r="H475">
        <v>8</v>
      </c>
      <c r="I475">
        <v>26</v>
      </c>
      <c r="J475">
        <v>4</v>
      </c>
      <c r="K475">
        <v>4</v>
      </c>
      <c r="L475" s="1">
        <v>43928</v>
      </c>
      <c r="M475" s="1" t="s">
        <v>9</v>
      </c>
    </row>
    <row r="476" spans="1:13" x14ac:dyDescent="0.25">
      <c r="A476">
        <v>1475</v>
      </c>
      <c r="B476">
        <v>32</v>
      </c>
      <c r="C476" t="s">
        <v>31</v>
      </c>
      <c r="D476" t="s">
        <v>27</v>
      </c>
      <c r="E476" t="s">
        <v>12</v>
      </c>
      <c r="F476" t="s">
        <v>40</v>
      </c>
      <c r="G476">
        <v>66289</v>
      </c>
      <c r="H476">
        <v>3</v>
      </c>
      <c r="I476">
        <v>1</v>
      </c>
      <c r="J476">
        <v>1</v>
      </c>
      <c r="K476">
        <v>5</v>
      </c>
      <c r="L476" s="1">
        <v>43299</v>
      </c>
      <c r="M476" s="1" t="s">
        <v>9</v>
      </c>
    </row>
    <row r="477" spans="1:13" x14ac:dyDescent="0.25">
      <c r="A477">
        <v>1476</v>
      </c>
      <c r="B477">
        <v>50</v>
      </c>
      <c r="C477" t="s">
        <v>32</v>
      </c>
      <c r="D477" t="s">
        <v>19</v>
      </c>
      <c r="E477" t="s">
        <v>12</v>
      </c>
      <c r="F477" t="s">
        <v>17</v>
      </c>
      <c r="G477">
        <v>69132</v>
      </c>
      <c r="H477">
        <v>11</v>
      </c>
      <c r="I477">
        <v>20</v>
      </c>
      <c r="J477">
        <v>1</v>
      </c>
      <c r="K477">
        <v>7</v>
      </c>
      <c r="L477" s="1">
        <v>43125</v>
      </c>
      <c r="M477" s="1">
        <v>44515</v>
      </c>
    </row>
    <row r="478" spans="1:13" x14ac:dyDescent="0.25">
      <c r="A478">
        <v>1477</v>
      </c>
      <c r="B478">
        <v>21</v>
      </c>
      <c r="C478" t="s">
        <v>32</v>
      </c>
      <c r="D478" t="s">
        <v>35</v>
      </c>
      <c r="E478" t="s">
        <v>12</v>
      </c>
      <c r="F478" t="s">
        <v>26</v>
      </c>
      <c r="G478">
        <v>73570</v>
      </c>
      <c r="H478">
        <v>3</v>
      </c>
      <c r="I478">
        <v>40</v>
      </c>
      <c r="J478">
        <v>2</v>
      </c>
      <c r="K478">
        <v>4</v>
      </c>
      <c r="L478" s="1">
        <v>43696</v>
      </c>
      <c r="M478" s="1" t="s">
        <v>9</v>
      </c>
    </row>
    <row r="479" spans="1:13" x14ac:dyDescent="0.25">
      <c r="A479">
        <v>1478</v>
      </c>
      <c r="B479">
        <v>45</v>
      </c>
      <c r="C479" t="s">
        <v>32</v>
      </c>
      <c r="D479" t="s">
        <v>13</v>
      </c>
      <c r="E479" t="s">
        <v>14</v>
      </c>
      <c r="F479" t="s">
        <v>21</v>
      </c>
      <c r="G479">
        <v>108954</v>
      </c>
      <c r="H479">
        <v>27</v>
      </c>
      <c r="I479">
        <v>52</v>
      </c>
      <c r="J479" t="s">
        <v>9</v>
      </c>
      <c r="K479">
        <v>5</v>
      </c>
      <c r="L479" s="1">
        <v>45545</v>
      </c>
      <c r="M479" s="1">
        <v>44721</v>
      </c>
    </row>
    <row r="480" spans="1:13" x14ac:dyDescent="0.25">
      <c r="A480">
        <v>1479</v>
      </c>
      <c r="B480">
        <v>23</v>
      </c>
      <c r="C480" t="s">
        <v>31</v>
      </c>
      <c r="D480" t="s">
        <v>27</v>
      </c>
      <c r="E480" t="s">
        <v>14</v>
      </c>
      <c r="F480" t="s">
        <v>44</v>
      </c>
      <c r="G480">
        <v>99971</v>
      </c>
      <c r="H480">
        <v>19</v>
      </c>
      <c r="I480">
        <v>30</v>
      </c>
      <c r="J480">
        <v>5</v>
      </c>
      <c r="K480">
        <v>1</v>
      </c>
      <c r="L480" s="1">
        <v>42685</v>
      </c>
      <c r="M480" s="1" t="s">
        <v>9</v>
      </c>
    </row>
    <row r="481" spans="1:13" x14ac:dyDescent="0.25">
      <c r="A481">
        <v>1480</v>
      </c>
      <c r="B481">
        <v>46</v>
      </c>
      <c r="C481" t="s">
        <v>31</v>
      </c>
      <c r="D481" t="s">
        <v>27</v>
      </c>
      <c r="E481" t="s">
        <v>34</v>
      </c>
      <c r="F481" t="s">
        <v>15</v>
      </c>
      <c r="G481">
        <v>77101</v>
      </c>
      <c r="H481">
        <v>16</v>
      </c>
      <c r="I481">
        <v>8</v>
      </c>
      <c r="J481">
        <v>3</v>
      </c>
      <c r="K481">
        <v>4</v>
      </c>
      <c r="L481" s="1">
        <v>43679</v>
      </c>
      <c r="M481" s="1" t="s">
        <v>9</v>
      </c>
    </row>
    <row r="482" spans="1:13" x14ac:dyDescent="0.25">
      <c r="A482">
        <v>1481</v>
      </c>
      <c r="B482">
        <v>44</v>
      </c>
      <c r="C482" t="s">
        <v>31</v>
      </c>
      <c r="D482" t="s">
        <v>13</v>
      </c>
      <c r="E482" t="s">
        <v>28</v>
      </c>
      <c r="F482" t="s">
        <v>17</v>
      </c>
      <c r="G482">
        <v>76774</v>
      </c>
      <c r="H482">
        <v>8</v>
      </c>
      <c r="I482">
        <v>28</v>
      </c>
      <c r="J482" t="s">
        <v>9</v>
      </c>
      <c r="K482">
        <v>8</v>
      </c>
      <c r="L482" s="1">
        <v>45478</v>
      </c>
      <c r="M482" s="1" t="s">
        <v>9</v>
      </c>
    </row>
    <row r="483" spans="1:13" x14ac:dyDescent="0.25">
      <c r="A483">
        <v>1482</v>
      </c>
      <c r="B483">
        <v>28</v>
      </c>
      <c r="C483" t="s">
        <v>37</v>
      </c>
      <c r="D483" t="s">
        <v>27</v>
      </c>
      <c r="E483" t="s">
        <v>25</v>
      </c>
      <c r="F483" t="s">
        <v>15</v>
      </c>
      <c r="G483">
        <v>51364</v>
      </c>
      <c r="H483">
        <v>23</v>
      </c>
      <c r="I483">
        <v>22</v>
      </c>
      <c r="J483">
        <v>4</v>
      </c>
      <c r="K483">
        <v>10</v>
      </c>
      <c r="L483" s="1">
        <v>42929</v>
      </c>
      <c r="M483" s="1">
        <v>43847</v>
      </c>
    </row>
    <row r="484" spans="1:13" x14ac:dyDescent="0.25">
      <c r="A484">
        <v>1483</v>
      </c>
      <c r="B484">
        <v>23</v>
      </c>
      <c r="C484" t="s">
        <v>32</v>
      </c>
      <c r="D484" t="s">
        <v>19</v>
      </c>
      <c r="E484" t="s">
        <v>25</v>
      </c>
      <c r="F484" t="s">
        <v>26</v>
      </c>
      <c r="G484">
        <v>52855</v>
      </c>
      <c r="H484">
        <v>5</v>
      </c>
      <c r="I484">
        <v>30</v>
      </c>
      <c r="J484">
        <v>4</v>
      </c>
      <c r="K484">
        <v>5</v>
      </c>
      <c r="L484" s="1">
        <v>45512</v>
      </c>
      <c r="M484" s="1" t="s">
        <v>9</v>
      </c>
    </row>
    <row r="485" spans="1:13" x14ac:dyDescent="0.25">
      <c r="A485">
        <v>1484</v>
      </c>
      <c r="B485">
        <v>28</v>
      </c>
      <c r="C485" t="s">
        <v>31</v>
      </c>
      <c r="D485" t="s">
        <v>19</v>
      </c>
      <c r="E485" t="s">
        <v>39</v>
      </c>
      <c r="F485" t="s">
        <v>26</v>
      </c>
      <c r="G485">
        <v>90525</v>
      </c>
      <c r="H485">
        <v>30</v>
      </c>
      <c r="I485">
        <v>25</v>
      </c>
      <c r="J485">
        <v>2</v>
      </c>
      <c r="K485">
        <v>10</v>
      </c>
      <c r="L485" s="1">
        <v>44356</v>
      </c>
      <c r="M485" s="1">
        <v>44611</v>
      </c>
    </row>
    <row r="486" spans="1:13" x14ac:dyDescent="0.25">
      <c r="A486">
        <v>1485</v>
      </c>
      <c r="B486">
        <v>29</v>
      </c>
      <c r="C486" t="s">
        <v>31</v>
      </c>
      <c r="D486" t="s">
        <v>35</v>
      </c>
      <c r="E486" t="s">
        <v>12</v>
      </c>
      <c r="F486" t="s">
        <v>15</v>
      </c>
      <c r="G486">
        <v>67202</v>
      </c>
      <c r="H486">
        <v>15</v>
      </c>
      <c r="I486">
        <v>24</v>
      </c>
      <c r="J486">
        <v>3</v>
      </c>
      <c r="K486">
        <v>4</v>
      </c>
      <c r="L486" s="1">
        <v>43690</v>
      </c>
      <c r="M486" s="1">
        <v>44687</v>
      </c>
    </row>
    <row r="487" spans="1:13" x14ac:dyDescent="0.25">
      <c r="A487">
        <v>1486</v>
      </c>
      <c r="B487">
        <v>27</v>
      </c>
      <c r="C487" t="s">
        <v>33</v>
      </c>
      <c r="D487" t="s">
        <v>13</v>
      </c>
      <c r="E487" t="s">
        <v>14</v>
      </c>
      <c r="F487" t="s">
        <v>18</v>
      </c>
      <c r="G487">
        <v>89636</v>
      </c>
      <c r="H487">
        <v>22</v>
      </c>
      <c r="I487">
        <v>56</v>
      </c>
      <c r="J487">
        <v>2</v>
      </c>
      <c r="K487">
        <v>8</v>
      </c>
      <c r="L487" s="1">
        <v>43427</v>
      </c>
      <c r="M487" s="1">
        <v>44449</v>
      </c>
    </row>
    <row r="488" spans="1:13" x14ac:dyDescent="0.25">
      <c r="A488">
        <v>1487</v>
      </c>
      <c r="B488">
        <v>28</v>
      </c>
      <c r="C488" t="s">
        <v>31</v>
      </c>
      <c r="D488" t="s">
        <v>22</v>
      </c>
      <c r="E488" t="s">
        <v>25</v>
      </c>
      <c r="F488" t="s">
        <v>29</v>
      </c>
      <c r="G488">
        <v>96913</v>
      </c>
      <c r="H488">
        <v>4</v>
      </c>
      <c r="I488">
        <v>38</v>
      </c>
      <c r="J488">
        <v>5</v>
      </c>
      <c r="K488">
        <v>1</v>
      </c>
      <c r="L488" s="1">
        <v>43123</v>
      </c>
      <c r="M488" s="1">
        <v>44354</v>
      </c>
    </row>
    <row r="489" spans="1:13" x14ac:dyDescent="0.25">
      <c r="A489">
        <v>1488</v>
      </c>
      <c r="B489">
        <v>30</v>
      </c>
      <c r="C489" t="s">
        <v>31</v>
      </c>
      <c r="D489" t="s">
        <v>23</v>
      </c>
      <c r="E489" t="s">
        <v>20</v>
      </c>
      <c r="F489" t="s">
        <v>24</v>
      </c>
      <c r="G489">
        <v>84510</v>
      </c>
      <c r="H489">
        <v>30</v>
      </c>
      <c r="I489">
        <v>37</v>
      </c>
      <c r="J489">
        <v>5</v>
      </c>
      <c r="K489">
        <v>9</v>
      </c>
      <c r="L489" s="1">
        <v>43549</v>
      </c>
      <c r="M489" s="1">
        <v>45007</v>
      </c>
    </row>
    <row r="490" spans="1:13" x14ac:dyDescent="0.25">
      <c r="A490">
        <v>1489</v>
      </c>
      <c r="B490">
        <v>48</v>
      </c>
      <c r="C490" t="s">
        <v>32</v>
      </c>
      <c r="D490" t="s">
        <v>27</v>
      </c>
      <c r="E490" t="s">
        <v>12</v>
      </c>
      <c r="F490" t="s">
        <v>21</v>
      </c>
      <c r="G490">
        <v>74370</v>
      </c>
      <c r="H490">
        <v>18</v>
      </c>
      <c r="I490">
        <v>5</v>
      </c>
      <c r="J490">
        <v>5</v>
      </c>
      <c r="K490">
        <v>9</v>
      </c>
      <c r="L490" s="1">
        <v>43575</v>
      </c>
      <c r="M490" s="1" t="s">
        <v>9</v>
      </c>
    </row>
    <row r="491" spans="1:13" x14ac:dyDescent="0.25">
      <c r="A491">
        <v>1490</v>
      </c>
      <c r="B491">
        <v>46</v>
      </c>
      <c r="C491" t="s">
        <v>31</v>
      </c>
      <c r="D491" t="s">
        <v>36</v>
      </c>
      <c r="E491" t="s">
        <v>25</v>
      </c>
      <c r="F491" t="s">
        <v>18</v>
      </c>
      <c r="G491">
        <v>89076</v>
      </c>
      <c r="H491">
        <v>6</v>
      </c>
      <c r="I491">
        <v>18</v>
      </c>
      <c r="J491">
        <v>2</v>
      </c>
      <c r="K491">
        <v>3</v>
      </c>
      <c r="L491" s="1">
        <v>45173</v>
      </c>
      <c r="M491" s="1" t="s">
        <v>9</v>
      </c>
    </row>
    <row r="492" spans="1:13" x14ac:dyDescent="0.25">
      <c r="A492">
        <v>1491</v>
      </c>
      <c r="B492">
        <v>49</v>
      </c>
      <c r="C492" t="s">
        <v>32</v>
      </c>
      <c r="D492" t="s">
        <v>13</v>
      </c>
      <c r="E492" t="s">
        <v>12</v>
      </c>
      <c r="F492" t="s">
        <v>17</v>
      </c>
      <c r="G492">
        <v>76579</v>
      </c>
      <c r="H492">
        <v>0</v>
      </c>
      <c r="I492">
        <v>49</v>
      </c>
      <c r="J492">
        <v>4</v>
      </c>
      <c r="K492">
        <v>7</v>
      </c>
      <c r="L492" s="1">
        <v>43780</v>
      </c>
      <c r="M492" s="1" t="s">
        <v>9</v>
      </c>
    </row>
    <row r="493" spans="1:13" x14ac:dyDescent="0.25">
      <c r="A493">
        <v>1492</v>
      </c>
      <c r="B493">
        <v>21</v>
      </c>
      <c r="C493" t="s">
        <v>31</v>
      </c>
      <c r="D493" t="s">
        <v>16</v>
      </c>
      <c r="E493" t="s">
        <v>14</v>
      </c>
      <c r="F493" t="s">
        <v>17</v>
      </c>
      <c r="G493">
        <v>109091</v>
      </c>
      <c r="H493">
        <v>24</v>
      </c>
      <c r="I493">
        <v>54</v>
      </c>
      <c r="J493">
        <v>4</v>
      </c>
      <c r="K493">
        <v>9</v>
      </c>
      <c r="L493" s="1">
        <v>45497</v>
      </c>
      <c r="M493" s="1" t="s">
        <v>9</v>
      </c>
    </row>
    <row r="494" spans="1:13" x14ac:dyDescent="0.25">
      <c r="A494">
        <v>1493</v>
      </c>
      <c r="B494">
        <v>27</v>
      </c>
      <c r="C494" t="s">
        <v>32</v>
      </c>
      <c r="D494" t="s">
        <v>27</v>
      </c>
      <c r="E494" t="s">
        <v>20</v>
      </c>
      <c r="F494" t="s">
        <v>29</v>
      </c>
      <c r="G494">
        <v>82604</v>
      </c>
      <c r="H494">
        <v>10</v>
      </c>
      <c r="I494">
        <v>48</v>
      </c>
      <c r="J494">
        <v>4</v>
      </c>
      <c r="K494">
        <v>9</v>
      </c>
      <c r="L494" s="1">
        <v>42007</v>
      </c>
      <c r="M494" s="1" t="s">
        <v>9</v>
      </c>
    </row>
    <row r="495" spans="1:13" x14ac:dyDescent="0.25">
      <c r="A495">
        <v>1494</v>
      </c>
      <c r="B495">
        <v>36</v>
      </c>
      <c r="C495" t="s">
        <v>32</v>
      </c>
      <c r="D495" t="s">
        <v>13</v>
      </c>
      <c r="E495" t="s">
        <v>14</v>
      </c>
      <c r="F495" t="s">
        <v>18</v>
      </c>
      <c r="G495">
        <v>94072</v>
      </c>
      <c r="H495">
        <v>5</v>
      </c>
      <c r="I495">
        <v>12</v>
      </c>
      <c r="J495">
        <v>4</v>
      </c>
      <c r="K495">
        <v>3</v>
      </c>
      <c r="L495" s="1">
        <v>42244</v>
      </c>
      <c r="M495" s="1" t="s">
        <v>9</v>
      </c>
    </row>
    <row r="496" spans="1:13" x14ac:dyDescent="0.25">
      <c r="A496">
        <v>1495</v>
      </c>
      <c r="B496">
        <v>32</v>
      </c>
      <c r="C496" t="s">
        <v>32</v>
      </c>
      <c r="D496" t="s">
        <v>22</v>
      </c>
      <c r="E496" t="s">
        <v>39</v>
      </c>
      <c r="F496" t="s">
        <v>29</v>
      </c>
      <c r="G496">
        <v>51694</v>
      </c>
      <c r="H496">
        <v>29</v>
      </c>
      <c r="I496">
        <v>8</v>
      </c>
      <c r="J496">
        <v>2</v>
      </c>
      <c r="K496">
        <v>10</v>
      </c>
      <c r="L496" s="1">
        <v>43490</v>
      </c>
      <c r="M496" s="1" t="s">
        <v>9</v>
      </c>
    </row>
    <row r="497" spans="1:13" x14ac:dyDescent="0.25">
      <c r="A497">
        <v>1496</v>
      </c>
      <c r="B497">
        <v>58</v>
      </c>
      <c r="C497" t="s">
        <v>31</v>
      </c>
      <c r="D497" t="s">
        <v>22</v>
      </c>
      <c r="E497" t="s">
        <v>20</v>
      </c>
      <c r="F497" t="s">
        <v>24</v>
      </c>
      <c r="G497">
        <v>78453</v>
      </c>
      <c r="H497">
        <v>10</v>
      </c>
      <c r="I497">
        <v>0</v>
      </c>
      <c r="J497">
        <v>4</v>
      </c>
      <c r="K497">
        <v>8</v>
      </c>
      <c r="L497" s="1">
        <v>45482</v>
      </c>
      <c r="M497" s="1" t="s">
        <v>9</v>
      </c>
    </row>
    <row r="498" spans="1:13" x14ac:dyDescent="0.25">
      <c r="A498">
        <v>1497</v>
      </c>
      <c r="B498">
        <v>60</v>
      </c>
      <c r="C498" t="s">
        <v>43</v>
      </c>
      <c r="D498" t="s">
        <v>36</v>
      </c>
      <c r="E498" t="s">
        <v>34</v>
      </c>
      <c r="F498" t="s">
        <v>18</v>
      </c>
      <c r="G498">
        <v>59543</v>
      </c>
      <c r="H498">
        <v>29</v>
      </c>
      <c r="I498">
        <v>2</v>
      </c>
      <c r="J498">
        <v>4</v>
      </c>
      <c r="K498">
        <v>8</v>
      </c>
      <c r="L498" s="1">
        <v>42752</v>
      </c>
      <c r="M498" s="1" t="s">
        <v>9</v>
      </c>
    </row>
    <row r="499" spans="1:13" x14ac:dyDescent="0.25">
      <c r="A499">
        <v>1498</v>
      </c>
      <c r="B499">
        <v>38</v>
      </c>
      <c r="C499" t="s">
        <v>33</v>
      </c>
      <c r="D499" t="s">
        <v>38</v>
      </c>
      <c r="E499" t="s">
        <v>25</v>
      </c>
      <c r="F499" t="s">
        <v>29</v>
      </c>
      <c r="G499">
        <v>77835</v>
      </c>
      <c r="H499">
        <v>20</v>
      </c>
      <c r="I499">
        <v>7</v>
      </c>
      <c r="J499" t="s">
        <v>9</v>
      </c>
      <c r="K499">
        <v>7</v>
      </c>
      <c r="L499" s="1">
        <v>44562</v>
      </c>
      <c r="M499" s="1" t="s">
        <v>9</v>
      </c>
    </row>
    <row r="500" spans="1:13" x14ac:dyDescent="0.25">
      <c r="A500">
        <v>1499</v>
      </c>
      <c r="B500">
        <v>41</v>
      </c>
      <c r="C500" t="s">
        <v>43</v>
      </c>
      <c r="D500" t="s">
        <v>27</v>
      </c>
      <c r="E500" t="s">
        <v>25</v>
      </c>
      <c r="F500" t="s">
        <v>26</v>
      </c>
      <c r="G500">
        <v>69438</v>
      </c>
      <c r="H500">
        <v>1</v>
      </c>
      <c r="I500">
        <v>47</v>
      </c>
      <c r="J500">
        <v>3</v>
      </c>
      <c r="K500">
        <v>4</v>
      </c>
      <c r="L500" s="1">
        <v>43435</v>
      </c>
      <c r="M500" s="1" t="s">
        <v>9</v>
      </c>
    </row>
    <row r="501" spans="1:13" x14ac:dyDescent="0.25">
      <c r="A501">
        <v>1500</v>
      </c>
      <c r="B501">
        <v>58</v>
      </c>
      <c r="C501" t="s">
        <v>31</v>
      </c>
      <c r="D501" t="s">
        <v>13</v>
      </c>
      <c r="E501" t="s">
        <v>39</v>
      </c>
      <c r="F501" t="s">
        <v>26</v>
      </c>
      <c r="G501">
        <v>53593</v>
      </c>
      <c r="H501">
        <v>29</v>
      </c>
      <c r="I501">
        <v>49</v>
      </c>
      <c r="J501" t="s">
        <v>9</v>
      </c>
      <c r="K501">
        <v>4</v>
      </c>
      <c r="L501" s="1">
        <v>43732</v>
      </c>
      <c r="M501" s="1" t="s">
        <v>9</v>
      </c>
    </row>
    <row r="502" spans="1:13" x14ac:dyDescent="0.25">
      <c r="A502">
        <v>1501</v>
      </c>
      <c r="B502">
        <v>23</v>
      </c>
      <c r="C502" t="s">
        <v>31</v>
      </c>
      <c r="D502" t="s">
        <v>22</v>
      </c>
      <c r="E502" t="s">
        <v>25</v>
      </c>
      <c r="F502" t="s">
        <v>18</v>
      </c>
      <c r="G502">
        <v>87381</v>
      </c>
      <c r="H502">
        <v>0</v>
      </c>
      <c r="I502">
        <v>29</v>
      </c>
      <c r="J502" t="s">
        <v>9</v>
      </c>
      <c r="K502">
        <v>10</v>
      </c>
      <c r="L502" s="1">
        <v>42675</v>
      </c>
      <c r="M502" s="1" t="s">
        <v>9</v>
      </c>
    </row>
    <row r="503" spans="1:13" x14ac:dyDescent="0.25">
      <c r="A503">
        <v>1502</v>
      </c>
      <c r="B503">
        <v>51</v>
      </c>
      <c r="C503" t="s">
        <v>32</v>
      </c>
      <c r="D503" t="s">
        <v>23</v>
      </c>
      <c r="E503" t="s">
        <v>20</v>
      </c>
      <c r="F503" t="s">
        <v>29</v>
      </c>
      <c r="G503">
        <v>73886</v>
      </c>
      <c r="H503">
        <v>4</v>
      </c>
      <c r="I503">
        <v>18</v>
      </c>
      <c r="J503">
        <v>5</v>
      </c>
      <c r="K503">
        <v>10</v>
      </c>
      <c r="L503" s="1">
        <v>44191</v>
      </c>
      <c r="M503" s="1" t="s">
        <v>9</v>
      </c>
    </row>
    <row r="504" spans="1:13" x14ac:dyDescent="0.25">
      <c r="A504">
        <v>1503</v>
      </c>
      <c r="B504">
        <v>27</v>
      </c>
      <c r="C504" t="s">
        <v>31</v>
      </c>
      <c r="D504" t="s">
        <v>19</v>
      </c>
      <c r="E504" t="s">
        <v>20</v>
      </c>
      <c r="F504" t="s">
        <v>15</v>
      </c>
      <c r="G504">
        <v>50715</v>
      </c>
      <c r="H504">
        <v>28</v>
      </c>
      <c r="I504">
        <v>36</v>
      </c>
      <c r="J504">
        <v>1</v>
      </c>
      <c r="K504">
        <v>1</v>
      </c>
      <c r="L504" s="1">
        <v>44874</v>
      </c>
      <c r="M504" s="1" t="s">
        <v>9</v>
      </c>
    </row>
    <row r="505" spans="1:13" x14ac:dyDescent="0.25">
      <c r="A505">
        <v>1504</v>
      </c>
      <c r="B505">
        <v>48</v>
      </c>
      <c r="C505" t="s">
        <v>32</v>
      </c>
      <c r="D505" t="s">
        <v>13</v>
      </c>
      <c r="E505" t="s">
        <v>28</v>
      </c>
      <c r="F505" t="s">
        <v>24</v>
      </c>
      <c r="G505">
        <v>84272</v>
      </c>
      <c r="H505">
        <v>3</v>
      </c>
      <c r="I505">
        <v>45</v>
      </c>
      <c r="J505">
        <v>4</v>
      </c>
      <c r="K505">
        <v>1</v>
      </c>
      <c r="L505" s="1">
        <v>42433</v>
      </c>
      <c r="M505" s="1">
        <v>43978</v>
      </c>
    </row>
    <row r="506" spans="1:13" x14ac:dyDescent="0.25">
      <c r="A506">
        <v>1505</v>
      </c>
      <c r="B506">
        <v>58</v>
      </c>
      <c r="C506" t="s">
        <v>31</v>
      </c>
      <c r="D506" t="s">
        <v>13</v>
      </c>
      <c r="E506" t="s">
        <v>28</v>
      </c>
      <c r="F506" t="s">
        <v>44</v>
      </c>
      <c r="G506">
        <v>79217</v>
      </c>
      <c r="H506">
        <v>12</v>
      </c>
      <c r="I506">
        <v>29</v>
      </c>
      <c r="J506">
        <v>3</v>
      </c>
      <c r="K506">
        <v>2</v>
      </c>
      <c r="L506" s="1">
        <v>44689</v>
      </c>
      <c r="M506" s="1">
        <v>45105</v>
      </c>
    </row>
    <row r="507" spans="1:13" x14ac:dyDescent="0.25">
      <c r="A507">
        <v>1506</v>
      </c>
      <c r="B507">
        <v>45</v>
      </c>
      <c r="C507" t="s">
        <v>32</v>
      </c>
      <c r="D507" t="s">
        <v>23</v>
      </c>
      <c r="E507" t="s">
        <v>25</v>
      </c>
      <c r="F507" t="s">
        <v>18</v>
      </c>
      <c r="G507">
        <v>68131</v>
      </c>
      <c r="H507">
        <v>14</v>
      </c>
      <c r="I507">
        <v>17</v>
      </c>
      <c r="J507">
        <v>1</v>
      </c>
      <c r="K507">
        <v>4</v>
      </c>
      <c r="L507" s="1">
        <v>42546</v>
      </c>
      <c r="M507" s="1" t="s">
        <v>9</v>
      </c>
    </row>
    <row r="508" spans="1:13" x14ac:dyDescent="0.25">
      <c r="A508">
        <v>1507</v>
      </c>
      <c r="B508">
        <v>47</v>
      </c>
      <c r="C508" t="s">
        <v>31</v>
      </c>
      <c r="D508" t="s">
        <v>13</v>
      </c>
      <c r="E508" t="s">
        <v>28</v>
      </c>
      <c r="F508" t="s">
        <v>21</v>
      </c>
      <c r="G508">
        <v>89553</v>
      </c>
      <c r="H508">
        <v>0</v>
      </c>
      <c r="I508">
        <v>58</v>
      </c>
      <c r="J508">
        <v>5</v>
      </c>
      <c r="K508">
        <v>1</v>
      </c>
      <c r="L508" s="1">
        <v>43367</v>
      </c>
      <c r="M508" s="1" t="s">
        <v>9</v>
      </c>
    </row>
    <row r="509" spans="1:13" x14ac:dyDescent="0.25">
      <c r="A509">
        <v>1508</v>
      </c>
      <c r="B509">
        <v>50</v>
      </c>
      <c r="C509" t="s">
        <v>31</v>
      </c>
      <c r="D509" t="s">
        <v>22</v>
      </c>
      <c r="E509" t="s">
        <v>20</v>
      </c>
      <c r="F509" t="s">
        <v>29</v>
      </c>
      <c r="G509">
        <v>108528</v>
      </c>
      <c r="H509">
        <v>5</v>
      </c>
      <c r="I509">
        <v>47</v>
      </c>
      <c r="J509">
        <v>1</v>
      </c>
      <c r="K509">
        <v>5</v>
      </c>
      <c r="L509" s="1">
        <v>43389</v>
      </c>
      <c r="M509" s="1" t="s">
        <v>9</v>
      </c>
    </row>
    <row r="510" spans="1:13" x14ac:dyDescent="0.25">
      <c r="A510">
        <v>1509</v>
      </c>
      <c r="B510">
        <v>31</v>
      </c>
      <c r="C510" t="s">
        <v>31</v>
      </c>
      <c r="D510" t="s">
        <v>27</v>
      </c>
      <c r="E510" t="s">
        <v>28</v>
      </c>
      <c r="F510" t="s">
        <v>29</v>
      </c>
      <c r="G510">
        <v>53401</v>
      </c>
      <c r="H510">
        <v>4</v>
      </c>
      <c r="I510">
        <v>52</v>
      </c>
      <c r="J510" t="s">
        <v>9</v>
      </c>
      <c r="K510">
        <v>10</v>
      </c>
      <c r="L510" s="1">
        <v>42363</v>
      </c>
      <c r="M510" s="1">
        <v>44643</v>
      </c>
    </row>
    <row r="511" spans="1:13" x14ac:dyDescent="0.25">
      <c r="A511">
        <v>1510</v>
      </c>
      <c r="B511">
        <v>59</v>
      </c>
      <c r="C511" t="s">
        <v>37</v>
      </c>
      <c r="D511" t="s">
        <v>16</v>
      </c>
      <c r="E511" t="s">
        <v>25</v>
      </c>
      <c r="F511" t="s">
        <v>24</v>
      </c>
      <c r="G511">
        <v>83115</v>
      </c>
      <c r="H511">
        <v>24</v>
      </c>
      <c r="I511">
        <v>47</v>
      </c>
      <c r="J511">
        <v>1</v>
      </c>
      <c r="K511">
        <v>7</v>
      </c>
      <c r="L511" s="1">
        <v>44070</v>
      </c>
      <c r="M511" s="1" t="s">
        <v>9</v>
      </c>
    </row>
    <row r="512" spans="1:13" x14ac:dyDescent="0.25">
      <c r="A512">
        <v>1511</v>
      </c>
      <c r="B512">
        <v>50</v>
      </c>
      <c r="C512" t="s">
        <v>32</v>
      </c>
      <c r="D512" t="s">
        <v>27</v>
      </c>
      <c r="E512" t="s">
        <v>41</v>
      </c>
      <c r="F512" t="s">
        <v>17</v>
      </c>
      <c r="G512">
        <v>81316</v>
      </c>
      <c r="H512">
        <v>14</v>
      </c>
      <c r="I512">
        <v>3</v>
      </c>
      <c r="J512">
        <v>5</v>
      </c>
      <c r="K512">
        <v>4</v>
      </c>
      <c r="L512" s="1">
        <v>44994</v>
      </c>
      <c r="M512" s="1" t="s">
        <v>9</v>
      </c>
    </row>
    <row r="513" spans="1:13" x14ac:dyDescent="0.25">
      <c r="A513">
        <v>1512</v>
      </c>
      <c r="B513">
        <v>23</v>
      </c>
      <c r="C513" t="s">
        <v>31</v>
      </c>
      <c r="D513" t="s">
        <v>16</v>
      </c>
      <c r="E513" t="s">
        <v>14</v>
      </c>
      <c r="F513" t="s">
        <v>24</v>
      </c>
      <c r="G513">
        <v>101847</v>
      </c>
      <c r="H513">
        <v>22</v>
      </c>
      <c r="I513">
        <v>53</v>
      </c>
      <c r="J513" t="s">
        <v>9</v>
      </c>
      <c r="K513">
        <v>8</v>
      </c>
      <c r="L513" s="1">
        <v>43917</v>
      </c>
      <c r="M513" s="1" t="s">
        <v>9</v>
      </c>
    </row>
    <row r="514" spans="1:13" x14ac:dyDescent="0.25">
      <c r="A514">
        <v>1513</v>
      </c>
      <c r="B514">
        <v>53</v>
      </c>
      <c r="C514" t="s">
        <v>32</v>
      </c>
      <c r="D514" t="s">
        <v>27</v>
      </c>
      <c r="E514" t="s">
        <v>34</v>
      </c>
      <c r="F514" t="s">
        <v>15</v>
      </c>
      <c r="G514">
        <v>81259</v>
      </c>
      <c r="H514">
        <v>27</v>
      </c>
      <c r="I514">
        <v>60</v>
      </c>
      <c r="J514">
        <v>5</v>
      </c>
      <c r="K514">
        <v>2</v>
      </c>
      <c r="L514" s="1">
        <v>43481</v>
      </c>
      <c r="M514" s="1" t="s">
        <v>9</v>
      </c>
    </row>
    <row r="515" spans="1:13" x14ac:dyDescent="0.25">
      <c r="A515">
        <v>1514</v>
      </c>
      <c r="B515">
        <v>55</v>
      </c>
      <c r="C515" t="s">
        <v>31</v>
      </c>
      <c r="D515" t="s">
        <v>22</v>
      </c>
      <c r="E515" t="s">
        <v>14</v>
      </c>
      <c r="F515" t="s">
        <v>24</v>
      </c>
      <c r="G515">
        <v>56899</v>
      </c>
      <c r="H515">
        <v>8</v>
      </c>
      <c r="I515">
        <v>27</v>
      </c>
      <c r="J515">
        <v>4</v>
      </c>
      <c r="K515">
        <v>4</v>
      </c>
      <c r="L515" s="1">
        <v>43047</v>
      </c>
      <c r="M515" s="1" t="s">
        <v>9</v>
      </c>
    </row>
    <row r="516" spans="1:13" x14ac:dyDescent="0.25">
      <c r="A516">
        <v>1515</v>
      </c>
      <c r="B516">
        <v>27</v>
      </c>
      <c r="C516" t="s">
        <v>32</v>
      </c>
      <c r="D516" t="s">
        <v>36</v>
      </c>
      <c r="E516" t="s">
        <v>20</v>
      </c>
      <c r="F516" t="s">
        <v>15</v>
      </c>
      <c r="G516">
        <v>84395</v>
      </c>
      <c r="H516">
        <v>9</v>
      </c>
      <c r="I516">
        <v>55</v>
      </c>
      <c r="J516" t="s">
        <v>9</v>
      </c>
      <c r="K516">
        <v>6</v>
      </c>
      <c r="L516" s="1">
        <v>43622</v>
      </c>
      <c r="M516" s="1" t="s">
        <v>9</v>
      </c>
    </row>
    <row r="517" spans="1:13" x14ac:dyDescent="0.25">
      <c r="A517">
        <v>1516</v>
      </c>
      <c r="B517">
        <v>47</v>
      </c>
      <c r="C517" t="s">
        <v>32</v>
      </c>
      <c r="D517" t="s">
        <v>38</v>
      </c>
      <c r="E517" t="s">
        <v>14</v>
      </c>
      <c r="F517" t="s">
        <v>21</v>
      </c>
      <c r="G517">
        <v>56902</v>
      </c>
      <c r="H517">
        <v>28</v>
      </c>
      <c r="I517">
        <v>31</v>
      </c>
      <c r="J517">
        <v>3</v>
      </c>
      <c r="K517">
        <v>9</v>
      </c>
      <c r="L517" s="1">
        <v>42737</v>
      </c>
      <c r="M517" s="1" t="s">
        <v>9</v>
      </c>
    </row>
    <row r="518" spans="1:13" x14ac:dyDescent="0.25">
      <c r="A518">
        <v>1517</v>
      </c>
      <c r="B518">
        <v>45</v>
      </c>
      <c r="C518" t="s">
        <v>31</v>
      </c>
      <c r="D518" t="s">
        <v>27</v>
      </c>
      <c r="E518" t="s">
        <v>14</v>
      </c>
      <c r="F518" t="s">
        <v>21</v>
      </c>
      <c r="G518">
        <v>57775</v>
      </c>
      <c r="H518">
        <v>7</v>
      </c>
      <c r="I518">
        <v>51</v>
      </c>
      <c r="J518" t="s">
        <v>9</v>
      </c>
      <c r="K518">
        <v>2</v>
      </c>
      <c r="L518" s="1">
        <v>44688</v>
      </c>
      <c r="M518" s="1" t="s">
        <v>9</v>
      </c>
    </row>
    <row r="519" spans="1:13" x14ac:dyDescent="0.25">
      <c r="A519">
        <v>1518</v>
      </c>
      <c r="B519">
        <v>24</v>
      </c>
      <c r="C519" t="s">
        <v>31</v>
      </c>
      <c r="D519" t="s">
        <v>13</v>
      </c>
      <c r="E519" t="s">
        <v>41</v>
      </c>
      <c r="F519" t="s">
        <v>44</v>
      </c>
      <c r="G519">
        <v>95658</v>
      </c>
      <c r="H519">
        <v>26</v>
      </c>
      <c r="I519">
        <v>41</v>
      </c>
      <c r="J519">
        <v>2</v>
      </c>
      <c r="K519">
        <v>1</v>
      </c>
      <c r="L519" s="1">
        <v>45073</v>
      </c>
      <c r="M519" s="1">
        <v>45551</v>
      </c>
    </row>
    <row r="520" spans="1:13" x14ac:dyDescent="0.25">
      <c r="A520">
        <v>1519</v>
      </c>
      <c r="B520">
        <v>46</v>
      </c>
      <c r="C520" t="s">
        <v>33</v>
      </c>
      <c r="D520" t="s">
        <v>22</v>
      </c>
      <c r="E520" t="s">
        <v>25</v>
      </c>
      <c r="F520" t="s">
        <v>17</v>
      </c>
      <c r="G520">
        <v>75100</v>
      </c>
      <c r="H520">
        <v>17</v>
      </c>
      <c r="I520">
        <v>1</v>
      </c>
      <c r="J520" t="s">
        <v>9</v>
      </c>
      <c r="K520">
        <v>9</v>
      </c>
      <c r="L520" s="1">
        <v>44275</v>
      </c>
      <c r="M520" s="1" t="s">
        <v>9</v>
      </c>
    </row>
    <row r="521" spans="1:13" x14ac:dyDescent="0.25">
      <c r="A521">
        <v>1520</v>
      </c>
      <c r="B521">
        <v>35</v>
      </c>
      <c r="C521" t="s">
        <v>37</v>
      </c>
      <c r="D521" t="s">
        <v>22</v>
      </c>
      <c r="E521" t="s">
        <v>12</v>
      </c>
      <c r="F521" t="s">
        <v>40</v>
      </c>
      <c r="G521">
        <v>53271</v>
      </c>
      <c r="H521">
        <v>3</v>
      </c>
      <c r="I521">
        <v>1</v>
      </c>
      <c r="J521">
        <v>4</v>
      </c>
      <c r="K521">
        <v>9</v>
      </c>
      <c r="L521" s="1">
        <v>44433</v>
      </c>
      <c r="M521" s="1" t="s">
        <v>9</v>
      </c>
    </row>
    <row r="522" spans="1:13" x14ac:dyDescent="0.25">
      <c r="A522">
        <v>1521</v>
      </c>
      <c r="B522">
        <v>55</v>
      </c>
      <c r="C522" t="s">
        <v>32</v>
      </c>
      <c r="D522" t="s">
        <v>16</v>
      </c>
      <c r="E522" t="s">
        <v>20</v>
      </c>
      <c r="F522" t="s">
        <v>26</v>
      </c>
      <c r="G522">
        <v>79732</v>
      </c>
      <c r="H522">
        <v>9</v>
      </c>
      <c r="I522">
        <v>7</v>
      </c>
      <c r="J522">
        <v>5</v>
      </c>
      <c r="K522">
        <v>8</v>
      </c>
      <c r="L522" s="1">
        <v>44243</v>
      </c>
      <c r="M522" s="1">
        <v>42898</v>
      </c>
    </row>
    <row r="523" spans="1:13" x14ac:dyDescent="0.25">
      <c r="A523">
        <v>1522</v>
      </c>
      <c r="B523">
        <v>54</v>
      </c>
      <c r="C523" t="s">
        <v>31</v>
      </c>
      <c r="D523" t="s">
        <v>19</v>
      </c>
      <c r="E523" t="s">
        <v>41</v>
      </c>
      <c r="F523" t="s">
        <v>18</v>
      </c>
      <c r="G523">
        <v>79358</v>
      </c>
      <c r="H523">
        <v>21</v>
      </c>
      <c r="I523">
        <v>36</v>
      </c>
      <c r="J523">
        <v>5</v>
      </c>
      <c r="K523">
        <v>7</v>
      </c>
      <c r="L523" s="1">
        <v>44229</v>
      </c>
      <c r="M523" s="1" t="s">
        <v>9</v>
      </c>
    </row>
    <row r="524" spans="1:13" x14ac:dyDescent="0.25">
      <c r="A524">
        <v>1523</v>
      </c>
      <c r="B524">
        <v>24</v>
      </c>
      <c r="C524" t="s">
        <v>31</v>
      </c>
      <c r="D524" t="s">
        <v>19</v>
      </c>
      <c r="E524" t="s">
        <v>34</v>
      </c>
      <c r="F524" t="s">
        <v>42</v>
      </c>
      <c r="G524">
        <v>106159</v>
      </c>
      <c r="H524">
        <v>12</v>
      </c>
      <c r="I524">
        <v>56</v>
      </c>
      <c r="J524">
        <v>4</v>
      </c>
      <c r="K524">
        <v>7</v>
      </c>
      <c r="L524" s="1">
        <v>44174</v>
      </c>
      <c r="M524" s="1" t="s">
        <v>9</v>
      </c>
    </row>
    <row r="525" spans="1:13" x14ac:dyDescent="0.25">
      <c r="A525">
        <v>1524</v>
      </c>
      <c r="B525">
        <v>22</v>
      </c>
      <c r="C525" t="s">
        <v>31</v>
      </c>
      <c r="D525" t="s">
        <v>35</v>
      </c>
      <c r="E525" t="s">
        <v>12</v>
      </c>
      <c r="F525" t="s">
        <v>26</v>
      </c>
      <c r="G525">
        <v>77120</v>
      </c>
      <c r="H525">
        <v>5</v>
      </c>
      <c r="I525">
        <v>44</v>
      </c>
      <c r="J525">
        <v>2</v>
      </c>
      <c r="K525">
        <v>6</v>
      </c>
      <c r="L525" s="1">
        <v>44609</v>
      </c>
      <c r="M525" s="1" t="s">
        <v>9</v>
      </c>
    </row>
    <row r="526" spans="1:13" x14ac:dyDescent="0.25">
      <c r="A526">
        <v>1525</v>
      </c>
      <c r="B526">
        <v>43</v>
      </c>
      <c r="C526" t="s">
        <v>33</v>
      </c>
      <c r="D526" t="s">
        <v>23</v>
      </c>
      <c r="E526" t="s">
        <v>12</v>
      </c>
      <c r="F526" t="s">
        <v>24</v>
      </c>
      <c r="G526">
        <v>100542</v>
      </c>
      <c r="H526">
        <v>9</v>
      </c>
      <c r="I526">
        <v>7</v>
      </c>
      <c r="J526">
        <v>5</v>
      </c>
      <c r="K526">
        <v>7</v>
      </c>
      <c r="L526" s="1">
        <v>44053</v>
      </c>
      <c r="M526" s="1">
        <v>42584</v>
      </c>
    </row>
    <row r="527" spans="1:13" x14ac:dyDescent="0.25">
      <c r="A527">
        <v>1526</v>
      </c>
      <c r="B527">
        <v>37</v>
      </c>
      <c r="C527" t="s">
        <v>37</v>
      </c>
      <c r="D527" t="s">
        <v>22</v>
      </c>
      <c r="E527" t="s">
        <v>41</v>
      </c>
      <c r="F527" t="s">
        <v>26</v>
      </c>
      <c r="G527">
        <v>82517</v>
      </c>
      <c r="H527">
        <v>18</v>
      </c>
      <c r="I527">
        <v>38</v>
      </c>
      <c r="J527">
        <v>3</v>
      </c>
      <c r="K527">
        <v>3</v>
      </c>
      <c r="L527" s="1">
        <v>44361</v>
      </c>
      <c r="M527" s="1" t="s">
        <v>9</v>
      </c>
    </row>
    <row r="528" spans="1:13" x14ac:dyDescent="0.25">
      <c r="A528">
        <v>1527</v>
      </c>
      <c r="B528">
        <v>46</v>
      </c>
      <c r="C528" t="s">
        <v>31</v>
      </c>
      <c r="D528" t="s">
        <v>35</v>
      </c>
      <c r="E528" t="s">
        <v>34</v>
      </c>
      <c r="F528" t="s">
        <v>40</v>
      </c>
      <c r="G528">
        <v>61685</v>
      </c>
      <c r="H528">
        <v>2</v>
      </c>
      <c r="I528">
        <v>7</v>
      </c>
      <c r="J528" t="s">
        <v>9</v>
      </c>
      <c r="K528">
        <v>10</v>
      </c>
      <c r="L528" s="1">
        <v>42962</v>
      </c>
      <c r="M528" s="1" t="s">
        <v>9</v>
      </c>
    </row>
    <row r="529" spans="1:13" x14ac:dyDescent="0.25">
      <c r="A529">
        <v>1528</v>
      </c>
      <c r="B529">
        <v>29</v>
      </c>
      <c r="C529" t="s">
        <v>31</v>
      </c>
      <c r="D529" t="s">
        <v>22</v>
      </c>
      <c r="E529" t="s">
        <v>14</v>
      </c>
      <c r="F529" t="s">
        <v>26</v>
      </c>
      <c r="G529">
        <v>81827</v>
      </c>
      <c r="H529">
        <v>1</v>
      </c>
      <c r="I529">
        <v>20</v>
      </c>
      <c r="J529">
        <v>1</v>
      </c>
      <c r="K529">
        <v>5</v>
      </c>
      <c r="L529" s="1">
        <v>43167</v>
      </c>
      <c r="M529" s="1" t="s">
        <v>9</v>
      </c>
    </row>
    <row r="530" spans="1:13" x14ac:dyDescent="0.25">
      <c r="A530">
        <v>1529</v>
      </c>
      <c r="B530">
        <v>26</v>
      </c>
      <c r="C530" t="s">
        <v>32</v>
      </c>
      <c r="D530" t="s">
        <v>27</v>
      </c>
      <c r="E530" t="s">
        <v>41</v>
      </c>
      <c r="F530" t="s">
        <v>15</v>
      </c>
      <c r="G530">
        <v>75849</v>
      </c>
      <c r="H530">
        <v>26</v>
      </c>
      <c r="I530">
        <v>56</v>
      </c>
      <c r="J530">
        <v>3</v>
      </c>
      <c r="K530">
        <v>3</v>
      </c>
      <c r="L530" s="1">
        <v>43542</v>
      </c>
      <c r="M530" s="1">
        <v>45390</v>
      </c>
    </row>
    <row r="531" spans="1:13" x14ac:dyDescent="0.25">
      <c r="A531">
        <v>1530</v>
      </c>
      <c r="B531">
        <v>23</v>
      </c>
      <c r="C531" t="s">
        <v>33</v>
      </c>
      <c r="D531" t="s">
        <v>23</v>
      </c>
      <c r="E531" t="s">
        <v>14</v>
      </c>
      <c r="F531" t="s">
        <v>21</v>
      </c>
      <c r="G531">
        <v>72486</v>
      </c>
      <c r="H531">
        <v>17</v>
      </c>
      <c r="I531">
        <v>53</v>
      </c>
      <c r="J531">
        <v>1</v>
      </c>
      <c r="K531">
        <v>4</v>
      </c>
      <c r="L531" s="1">
        <v>43872</v>
      </c>
      <c r="M531" s="1" t="s">
        <v>9</v>
      </c>
    </row>
    <row r="532" spans="1:13" x14ac:dyDescent="0.25">
      <c r="A532">
        <v>1531</v>
      </c>
      <c r="B532">
        <v>23</v>
      </c>
      <c r="C532" t="s">
        <v>43</v>
      </c>
      <c r="D532" t="s">
        <v>19</v>
      </c>
      <c r="E532" t="s">
        <v>28</v>
      </c>
      <c r="F532" t="s">
        <v>15</v>
      </c>
      <c r="G532">
        <v>48420</v>
      </c>
      <c r="H532">
        <v>15</v>
      </c>
      <c r="I532">
        <v>34</v>
      </c>
      <c r="J532">
        <v>5</v>
      </c>
      <c r="K532">
        <v>7</v>
      </c>
      <c r="L532" s="1">
        <v>43389</v>
      </c>
      <c r="M532" s="1">
        <v>43137</v>
      </c>
    </row>
    <row r="533" spans="1:13" x14ac:dyDescent="0.25">
      <c r="A533">
        <v>1532</v>
      </c>
      <c r="B533">
        <v>52</v>
      </c>
      <c r="C533" t="s">
        <v>32</v>
      </c>
      <c r="D533" t="s">
        <v>13</v>
      </c>
      <c r="E533" t="s">
        <v>12</v>
      </c>
      <c r="F533" t="s">
        <v>18</v>
      </c>
      <c r="G533">
        <v>104102</v>
      </c>
      <c r="H533">
        <v>5</v>
      </c>
      <c r="I533">
        <v>49</v>
      </c>
      <c r="J533">
        <v>4</v>
      </c>
      <c r="K533">
        <v>5</v>
      </c>
      <c r="L533" s="1">
        <v>43747</v>
      </c>
      <c r="M533" s="1" t="s">
        <v>9</v>
      </c>
    </row>
    <row r="534" spans="1:13" x14ac:dyDescent="0.25">
      <c r="A534">
        <v>1533</v>
      </c>
      <c r="B534">
        <v>25</v>
      </c>
      <c r="C534" t="s">
        <v>32</v>
      </c>
      <c r="D534" t="s">
        <v>23</v>
      </c>
      <c r="E534" t="s">
        <v>34</v>
      </c>
      <c r="F534" t="s">
        <v>29</v>
      </c>
      <c r="G534">
        <v>62225</v>
      </c>
      <c r="H534">
        <v>0</v>
      </c>
      <c r="I534">
        <v>6</v>
      </c>
      <c r="J534">
        <v>3</v>
      </c>
      <c r="K534">
        <v>7</v>
      </c>
      <c r="L534" s="1">
        <v>42702</v>
      </c>
      <c r="M534" s="1" t="s">
        <v>9</v>
      </c>
    </row>
    <row r="535" spans="1:13" x14ac:dyDescent="0.25">
      <c r="A535">
        <v>1534</v>
      </c>
      <c r="B535">
        <v>35</v>
      </c>
      <c r="C535" t="s">
        <v>31</v>
      </c>
      <c r="D535" t="s">
        <v>19</v>
      </c>
      <c r="E535" t="s">
        <v>25</v>
      </c>
      <c r="F535" t="s">
        <v>18</v>
      </c>
      <c r="G535">
        <v>86033</v>
      </c>
      <c r="H535">
        <v>24</v>
      </c>
      <c r="I535">
        <v>31</v>
      </c>
      <c r="J535">
        <v>5</v>
      </c>
      <c r="K535">
        <v>3</v>
      </c>
      <c r="L535" s="1">
        <v>42647</v>
      </c>
      <c r="M535" s="1">
        <v>42797</v>
      </c>
    </row>
    <row r="536" spans="1:13" x14ac:dyDescent="0.25">
      <c r="A536">
        <v>1535</v>
      </c>
      <c r="B536">
        <v>43</v>
      </c>
      <c r="C536" t="s">
        <v>31</v>
      </c>
      <c r="D536" t="s">
        <v>19</v>
      </c>
      <c r="E536" t="s">
        <v>14</v>
      </c>
      <c r="F536" t="s">
        <v>15</v>
      </c>
      <c r="G536">
        <v>85500</v>
      </c>
      <c r="H536">
        <v>19</v>
      </c>
      <c r="I536">
        <v>52</v>
      </c>
      <c r="J536" t="s">
        <v>9</v>
      </c>
      <c r="K536">
        <v>7</v>
      </c>
      <c r="L536" s="1">
        <v>43787</v>
      </c>
      <c r="M536" s="1" t="s">
        <v>9</v>
      </c>
    </row>
    <row r="537" spans="1:13" x14ac:dyDescent="0.25">
      <c r="A537">
        <v>1536</v>
      </c>
      <c r="B537">
        <v>55</v>
      </c>
      <c r="C537" t="s">
        <v>31</v>
      </c>
      <c r="D537" t="s">
        <v>23</v>
      </c>
      <c r="E537" t="s">
        <v>25</v>
      </c>
      <c r="F537" t="s">
        <v>29</v>
      </c>
      <c r="G537">
        <v>87505</v>
      </c>
      <c r="H537">
        <v>4</v>
      </c>
      <c r="I537">
        <v>49</v>
      </c>
      <c r="J537" t="s">
        <v>9</v>
      </c>
      <c r="K537">
        <v>3</v>
      </c>
      <c r="L537" s="1">
        <v>42775</v>
      </c>
      <c r="M537" s="1">
        <v>44269</v>
      </c>
    </row>
    <row r="538" spans="1:13" x14ac:dyDescent="0.25">
      <c r="A538">
        <v>1537</v>
      </c>
      <c r="B538">
        <v>37</v>
      </c>
      <c r="C538" t="s">
        <v>31</v>
      </c>
      <c r="D538" t="s">
        <v>16</v>
      </c>
      <c r="E538" t="s">
        <v>14</v>
      </c>
      <c r="F538" t="s">
        <v>42</v>
      </c>
      <c r="G538">
        <v>76113</v>
      </c>
      <c r="H538">
        <v>2</v>
      </c>
      <c r="I538">
        <v>39</v>
      </c>
      <c r="J538">
        <v>5</v>
      </c>
      <c r="K538">
        <v>9</v>
      </c>
      <c r="L538" s="1">
        <v>45558</v>
      </c>
      <c r="M538" s="1">
        <v>42879</v>
      </c>
    </row>
    <row r="539" spans="1:13" x14ac:dyDescent="0.25">
      <c r="A539">
        <v>1538</v>
      </c>
      <c r="B539">
        <v>39</v>
      </c>
      <c r="C539" t="s">
        <v>32</v>
      </c>
      <c r="D539" t="s">
        <v>19</v>
      </c>
      <c r="E539" t="s">
        <v>12</v>
      </c>
      <c r="F539" t="s">
        <v>15</v>
      </c>
      <c r="G539">
        <v>98337</v>
      </c>
      <c r="H539">
        <v>19</v>
      </c>
      <c r="I539">
        <v>46</v>
      </c>
      <c r="J539">
        <v>5</v>
      </c>
      <c r="K539">
        <v>3</v>
      </c>
      <c r="L539" s="1">
        <v>43500</v>
      </c>
      <c r="M539" s="1" t="s">
        <v>9</v>
      </c>
    </row>
    <row r="540" spans="1:13" x14ac:dyDescent="0.25">
      <c r="A540">
        <v>1539</v>
      </c>
      <c r="B540">
        <v>39</v>
      </c>
      <c r="C540" t="s">
        <v>31</v>
      </c>
      <c r="D540" t="s">
        <v>23</v>
      </c>
      <c r="E540" t="s">
        <v>14</v>
      </c>
      <c r="F540" t="s">
        <v>17</v>
      </c>
      <c r="G540">
        <v>77510</v>
      </c>
      <c r="H540">
        <v>3</v>
      </c>
      <c r="I540">
        <v>48</v>
      </c>
      <c r="J540">
        <v>5</v>
      </c>
      <c r="K540">
        <v>9</v>
      </c>
      <c r="L540" s="1">
        <v>44557</v>
      </c>
      <c r="M540" s="1" t="s">
        <v>9</v>
      </c>
    </row>
    <row r="541" spans="1:13" x14ac:dyDescent="0.25">
      <c r="A541">
        <v>1540</v>
      </c>
      <c r="B541">
        <v>57</v>
      </c>
      <c r="C541" t="s">
        <v>43</v>
      </c>
      <c r="D541" t="s">
        <v>27</v>
      </c>
      <c r="E541" t="s">
        <v>14</v>
      </c>
      <c r="F541" t="s">
        <v>15</v>
      </c>
      <c r="G541">
        <v>108446</v>
      </c>
      <c r="H541">
        <v>28</v>
      </c>
      <c r="I541">
        <v>58</v>
      </c>
      <c r="J541">
        <v>4</v>
      </c>
      <c r="K541">
        <v>8</v>
      </c>
      <c r="L541" s="1">
        <v>45121</v>
      </c>
      <c r="M541" s="1" t="s">
        <v>9</v>
      </c>
    </row>
    <row r="542" spans="1:13" x14ac:dyDescent="0.25">
      <c r="A542">
        <v>1541</v>
      </c>
      <c r="B542">
        <v>26</v>
      </c>
      <c r="C542" t="s">
        <v>32</v>
      </c>
      <c r="D542" t="s">
        <v>19</v>
      </c>
      <c r="E542" t="s">
        <v>39</v>
      </c>
      <c r="F542" t="s">
        <v>15</v>
      </c>
      <c r="G542">
        <v>60333</v>
      </c>
      <c r="H542">
        <v>2</v>
      </c>
      <c r="I542">
        <v>19</v>
      </c>
      <c r="J542" t="s">
        <v>9</v>
      </c>
      <c r="K542">
        <v>10</v>
      </c>
      <c r="L542" s="1">
        <v>44688</v>
      </c>
      <c r="M542" s="1" t="s">
        <v>9</v>
      </c>
    </row>
    <row r="543" spans="1:13" x14ac:dyDescent="0.25">
      <c r="A543">
        <v>1542</v>
      </c>
      <c r="B543">
        <v>39</v>
      </c>
      <c r="C543" t="s">
        <v>32</v>
      </c>
      <c r="D543" t="s">
        <v>22</v>
      </c>
      <c r="E543" t="s">
        <v>25</v>
      </c>
      <c r="F543" t="s">
        <v>18</v>
      </c>
      <c r="G543">
        <v>78043</v>
      </c>
      <c r="H543">
        <v>30</v>
      </c>
      <c r="I543">
        <v>57</v>
      </c>
      <c r="J543">
        <v>2</v>
      </c>
      <c r="K543">
        <v>5</v>
      </c>
      <c r="L543" s="1">
        <v>45130</v>
      </c>
      <c r="M543" s="1" t="s">
        <v>9</v>
      </c>
    </row>
    <row r="544" spans="1:13" x14ac:dyDescent="0.25">
      <c r="A544">
        <v>1543</v>
      </c>
      <c r="B544">
        <v>36</v>
      </c>
      <c r="C544" t="s">
        <v>32</v>
      </c>
      <c r="D544" t="s">
        <v>23</v>
      </c>
      <c r="E544" t="s">
        <v>20</v>
      </c>
      <c r="F544" t="s">
        <v>26</v>
      </c>
      <c r="G544">
        <v>71428</v>
      </c>
      <c r="H544">
        <v>22</v>
      </c>
      <c r="I544">
        <v>31</v>
      </c>
      <c r="J544">
        <v>2</v>
      </c>
      <c r="K544">
        <v>2</v>
      </c>
      <c r="L544" s="1">
        <v>42045</v>
      </c>
      <c r="M544" s="1" t="s">
        <v>9</v>
      </c>
    </row>
    <row r="545" spans="1:13" x14ac:dyDescent="0.25">
      <c r="A545">
        <v>1544</v>
      </c>
      <c r="B545">
        <v>57</v>
      </c>
      <c r="C545" t="s">
        <v>31</v>
      </c>
      <c r="D545" t="s">
        <v>13</v>
      </c>
      <c r="E545" t="s">
        <v>12</v>
      </c>
      <c r="F545" t="s">
        <v>26</v>
      </c>
      <c r="G545">
        <v>109189</v>
      </c>
      <c r="H545">
        <v>2</v>
      </c>
      <c r="I545">
        <v>31</v>
      </c>
      <c r="J545">
        <v>5</v>
      </c>
      <c r="K545">
        <v>1</v>
      </c>
      <c r="L545" s="1">
        <v>43394</v>
      </c>
      <c r="M545" s="1" t="s">
        <v>9</v>
      </c>
    </row>
    <row r="546" spans="1:13" x14ac:dyDescent="0.25">
      <c r="A546">
        <v>1545</v>
      </c>
      <c r="B546">
        <v>30</v>
      </c>
      <c r="C546" t="s">
        <v>32</v>
      </c>
      <c r="D546" t="s">
        <v>23</v>
      </c>
      <c r="E546" t="s">
        <v>25</v>
      </c>
      <c r="F546" t="s">
        <v>18</v>
      </c>
      <c r="G546">
        <v>108628</v>
      </c>
      <c r="H546">
        <v>23</v>
      </c>
      <c r="I546">
        <v>29</v>
      </c>
      <c r="J546">
        <v>5</v>
      </c>
      <c r="K546">
        <v>6</v>
      </c>
      <c r="L546" s="1">
        <v>43590</v>
      </c>
      <c r="M546" s="1" t="s">
        <v>9</v>
      </c>
    </row>
    <row r="547" spans="1:13" x14ac:dyDescent="0.25">
      <c r="A547">
        <v>1546</v>
      </c>
      <c r="B547">
        <v>30</v>
      </c>
      <c r="C547" t="s">
        <v>33</v>
      </c>
      <c r="D547" t="s">
        <v>16</v>
      </c>
      <c r="E547" t="s">
        <v>12</v>
      </c>
      <c r="F547" t="s">
        <v>18</v>
      </c>
      <c r="G547">
        <v>74724</v>
      </c>
      <c r="H547">
        <v>26</v>
      </c>
      <c r="I547">
        <v>33</v>
      </c>
      <c r="J547">
        <v>4</v>
      </c>
      <c r="K547">
        <v>3</v>
      </c>
      <c r="L547" s="1">
        <v>45605</v>
      </c>
      <c r="M547" s="1" t="s">
        <v>9</v>
      </c>
    </row>
    <row r="548" spans="1:13" x14ac:dyDescent="0.25">
      <c r="A548">
        <v>1547</v>
      </c>
      <c r="B548">
        <v>51</v>
      </c>
      <c r="C548" t="s">
        <v>32</v>
      </c>
      <c r="D548" t="s">
        <v>23</v>
      </c>
      <c r="E548" t="s">
        <v>25</v>
      </c>
      <c r="F548" t="s">
        <v>42</v>
      </c>
      <c r="G548">
        <v>45840</v>
      </c>
      <c r="H548">
        <v>12</v>
      </c>
      <c r="I548">
        <v>9</v>
      </c>
      <c r="J548">
        <v>1</v>
      </c>
      <c r="K548">
        <v>7</v>
      </c>
      <c r="L548" s="1">
        <v>43911</v>
      </c>
      <c r="M548" s="1" t="s">
        <v>9</v>
      </c>
    </row>
    <row r="549" spans="1:13" x14ac:dyDescent="0.25">
      <c r="A549">
        <v>1548</v>
      </c>
      <c r="B549">
        <v>36</v>
      </c>
      <c r="C549" t="s">
        <v>31</v>
      </c>
      <c r="D549" t="s">
        <v>23</v>
      </c>
      <c r="E549" t="s">
        <v>20</v>
      </c>
      <c r="F549" t="s">
        <v>17</v>
      </c>
      <c r="G549">
        <v>56044</v>
      </c>
      <c r="H549">
        <v>8</v>
      </c>
      <c r="I549">
        <v>14</v>
      </c>
      <c r="J549">
        <v>5</v>
      </c>
      <c r="K549">
        <v>1</v>
      </c>
      <c r="L549" s="1">
        <v>45366</v>
      </c>
      <c r="M549" s="1" t="s">
        <v>9</v>
      </c>
    </row>
    <row r="550" spans="1:13" x14ac:dyDescent="0.25">
      <c r="A550">
        <v>1549</v>
      </c>
      <c r="B550">
        <v>28</v>
      </c>
      <c r="C550" t="s">
        <v>31</v>
      </c>
      <c r="D550" t="s">
        <v>13</v>
      </c>
      <c r="E550" t="s">
        <v>14</v>
      </c>
      <c r="F550" t="s">
        <v>15</v>
      </c>
      <c r="G550">
        <v>76409</v>
      </c>
      <c r="H550">
        <v>23</v>
      </c>
      <c r="I550">
        <v>0</v>
      </c>
      <c r="J550" t="s">
        <v>9</v>
      </c>
      <c r="K550">
        <v>4</v>
      </c>
      <c r="L550" s="1">
        <v>44975</v>
      </c>
      <c r="M550" s="1">
        <v>43671</v>
      </c>
    </row>
    <row r="551" spans="1:13" x14ac:dyDescent="0.25">
      <c r="A551">
        <v>1550</v>
      </c>
      <c r="B551">
        <v>27</v>
      </c>
      <c r="C551" t="s">
        <v>31</v>
      </c>
      <c r="D551" t="s">
        <v>35</v>
      </c>
      <c r="E551" t="s">
        <v>20</v>
      </c>
      <c r="F551" t="s">
        <v>17</v>
      </c>
      <c r="G551">
        <v>88004</v>
      </c>
      <c r="H551">
        <v>25</v>
      </c>
      <c r="I551">
        <v>18</v>
      </c>
      <c r="J551">
        <v>5</v>
      </c>
      <c r="K551">
        <v>5</v>
      </c>
      <c r="L551" s="1">
        <v>43807</v>
      </c>
      <c r="M551" s="1">
        <v>44399</v>
      </c>
    </row>
    <row r="552" spans="1:13" x14ac:dyDescent="0.25">
      <c r="A552">
        <v>1551</v>
      </c>
      <c r="B552">
        <v>58</v>
      </c>
      <c r="C552" t="s">
        <v>37</v>
      </c>
      <c r="D552" t="s">
        <v>27</v>
      </c>
      <c r="E552" t="s">
        <v>28</v>
      </c>
      <c r="F552" t="s">
        <v>17</v>
      </c>
      <c r="G552">
        <v>95121</v>
      </c>
      <c r="H552">
        <v>15</v>
      </c>
      <c r="I552">
        <v>54</v>
      </c>
      <c r="J552" t="s">
        <v>9</v>
      </c>
      <c r="K552">
        <v>2</v>
      </c>
      <c r="L552" s="1">
        <v>43564</v>
      </c>
      <c r="M552" s="1">
        <v>42820</v>
      </c>
    </row>
    <row r="553" spans="1:13" x14ac:dyDescent="0.25">
      <c r="A553">
        <v>1552</v>
      </c>
      <c r="B553">
        <v>57</v>
      </c>
      <c r="C553" t="s">
        <v>32</v>
      </c>
      <c r="D553" t="s">
        <v>27</v>
      </c>
      <c r="E553" t="s">
        <v>14</v>
      </c>
      <c r="F553" t="s">
        <v>18</v>
      </c>
      <c r="G553">
        <v>53805</v>
      </c>
      <c r="H553">
        <v>28</v>
      </c>
      <c r="I553">
        <v>32</v>
      </c>
      <c r="J553" t="s">
        <v>9</v>
      </c>
      <c r="K553">
        <v>2</v>
      </c>
      <c r="L553" s="1">
        <v>45598</v>
      </c>
      <c r="M553" s="1" t="s">
        <v>9</v>
      </c>
    </row>
    <row r="554" spans="1:13" x14ac:dyDescent="0.25">
      <c r="A554">
        <v>1553</v>
      </c>
      <c r="B554">
        <v>57</v>
      </c>
      <c r="C554" t="s">
        <v>32</v>
      </c>
      <c r="D554" t="s">
        <v>16</v>
      </c>
      <c r="E554" t="s">
        <v>39</v>
      </c>
      <c r="F554" t="s">
        <v>24</v>
      </c>
      <c r="G554">
        <v>106418</v>
      </c>
      <c r="H554">
        <v>3</v>
      </c>
      <c r="I554">
        <v>39</v>
      </c>
      <c r="J554" t="s">
        <v>9</v>
      </c>
      <c r="K554">
        <v>4</v>
      </c>
      <c r="L554" s="1">
        <v>45084</v>
      </c>
      <c r="M554" s="1">
        <v>45397</v>
      </c>
    </row>
    <row r="555" spans="1:13" x14ac:dyDescent="0.25">
      <c r="A555">
        <v>1554</v>
      </c>
      <c r="B555">
        <v>40</v>
      </c>
      <c r="C555" t="s">
        <v>32</v>
      </c>
      <c r="D555" t="s">
        <v>23</v>
      </c>
      <c r="E555" t="s">
        <v>14</v>
      </c>
      <c r="F555" t="s">
        <v>15</v>
      </c>
      <c r="G555">
        <v>85837</v>
      </c>
      <c r="H555">
        <v>24</v>
      </c>
      <c r="I555">
        <v>41</v>
      </c>
      <c r="J555">
        <v>2</v>
      </c>
      <c r="K555">
        <v>10</v>
      </c>
      <c r="L555" s="1">
        <v>45591</v>
      </c>
      <c r="M555" s="1" t="s">
        <v>9</v>
      </c>
    </row>
    <row r="556" spans="1:13" x14ac:dyDescent="0.25">
      <c r="A556">
        <v>1555</v>
      </c>
      <c r="B556">
        <v>43</v>
      </c>
      <c r="C556" t="s">
        <v>32</v>
      </c>
      <c r="D556" t="s">
        <v>27</v>
      </c>
      <c r="E556" t="s">
        <v>34</v>
      </c>
      <c r="F556" t="s">
        <v>24</v>
      </c>
      <c r="G556">
        <v>85178</v>
      </c>
      <c r="H556">
        <v>7</v>
      </c>
      <c r="I556">
        <v>33</v>
      </c>
      <c r="J556">
        <v>4</v>
      </c>
      <c r="K556">
        <v>10</v>
      </c>
      <c r="L556" s="1">
        <v>42444</v>
      </c>
      <c r="M556" s="1">
        <v>43493</v>
      </c>
    </row>
    <row r="557" spans="1:13" x14ac:dyDescent="0.25">
      <c r="A557">
        <v>1556</v>
      </c>
      <c r="B557">
        <v>46</v>
      </c>
      <c r="C557" t="s">
        <v>31</v>
      </c>
      <c r="D557" t="s">
        <v>19</v>
      </c>
      <c r="E557" t="s">
        <v>12</v>
      </c>
      <c r="F557" t="s">
        <v>26</v>
      </c>
      <c r="G557">
        <v>66648</v>
      </c>
      <c r="H557">
        <v>28</v>
      </c>
      <c r="I557">
        <v>39</v>
      </c>
      <c r="J557">
        <v>4</v>
      </c>
      <c r="K557">
        <v>5</v>
      </c>
      <c r="L557" s="1">
        <v>42960</v>
      </c>
      <c r="M557" s="1" t="s">
        <v>9</v>
      </c>
    </row>
    <row r="558" spans="1:13" x14ac:dyDescent="0.25">
      <c r="A558">
        <v>1557</v>
      </c>
      <c r="B558">
        <v>36</v>
      </c>
      <c r="C558" t="s">
        <v>31</v>
      </c>
      <c r="D558" t="s">
        <v>16</v>
      </c>
      <c r="E558" t="s">
        <v>28</v>
      </c>
      <c r="F558" t="s">
        <v>40</v>
      </c>
      <c r="G558">
        <v>74299</v>
      </c>
      <c r="H558">
        <v>8</v>
      </c>
      <c r="I558">
        <v>10</v>
      </c>
      <c r="J558">
        <v>1</v>
      </c>
      <c r="K558">
        <v>1</v>
      </c>
      <c r="L558" s="1">
        <v>43033</v>
      </c>
      <c r="M558" s="1" t="s">
        <v>9</v>
      </c>
    </row>
    <row r="559" spans="1:13" x14ac:dyDescent="0.25">
      <c r="A559">
        <v>1558</v>
      </c>
      <c r="B559">
        <v>34</v>
      </c>
      <c r="C559" t="s">
        <v>33</v>
      </c>
      <c r="D559" t="s">
        <v>19</v>
      </c>
      <c r="E559" t="s">
        <v>39</v>
      </c>
      <c r="F559" t="s">
        <v>15</v>
      </c>
      <c r="G559">
        <v>83739</v>
      </c>
      <c r="H559">
        <v>15</v>
      </c>
      <c r="I559">
        <v>57</v>
      </c>
      <c r="J559">
        <v>4</v>
      </c>
      <c r="K559">
        <v>7</v>
      </c>
      <c r="L559" s="1">
        <v>45204</v>
      </c>
      <c r="M559" s="1" t="s">
        <v>9</v>
      </c>
    </row>
    <row r="560" spans="1:13" x14ac:dyDescent="0.25">
      <c r="A560">
        <v>1559</v>
      </c>
      <c r="B560">
        <v>57</v>
      </c>
      <c r="C560" t="s">
        <v>32</v>
      </c>
      <c r="D560" t="s">
        <v>16</v>
      </c>
      <c r="E560" t="s">
        <v>14</v>
      </c>
      <c r="F560" t="s">
        <v>18</v>
      </c>
      <c r="G560">
        <v>68986</v>
      </c>
      <c r="H560">
        <v>3</v>
      </c>
      <c r="I560">
        <v>19</v>
      </c>
      <c r="J560" t="s">
        <v>9</v>
      </c>
      <c r="K560">
        <v>9</v>
      </c>
      <c r="L560" s="1">
        <v>42208</v>
      </c>
      <c r="M560" s="1" t="s">
        <v>9</v>
      </c>
    </row>
    <row r="561" spans="1:13" x14ac:dyDescent="0.25">
      <c r="A561">
        <v>1560</v>
      </c>
      <c r="B561">
        <v>60</v>
      </c>
      <c r="C561" t="s">
        <v>43</v>
      </c>
      <c r="D561" t="s">
        <v>27</v>
      </c>
      <c r="E561" t="s">
        <v>25</v>
      </c>
      <c r="F561" t="s">
        <v>17</v>
      </c>
      <c r="G561">
        <v>77322</v>
      </c>
      <c r="H561">
        <v>6</v>
      </c>
      <c r="I561">
        <v>7</v>
      </c>
      <c r="J561">
        <v>3</v>
      </c>
      <c r="K561">
        <v>8</v>
      </c>
      <c r="L561" s="1">
        <v>43223</v>
      </c>
      <c r="M561" s="1" t="s">
        <v>9</v>
      </c>
    </row>
    <row r="562" spans="1:13" x14ac:dyDescent="0.25">
      <c r="A562">
        <v>1561</v>
      </c>
      <c r="B562">
        <v>33</v>
      </c>
      <c r="C562" t="s">
        <v>32</v>
      </c>
      <c r="D562" t="s">
        <v>16</v>
      </c>
      <c r="E562" t="s">
        <v>25</v>
      </c>
      <c r="F562" t="s">
        <v>15</v>
      </c>
      <c r="G562">
        <v>64041</v>
      </c>
      <c r="H562">
        <v>24</v>
      </c>
      <c r="I562">
        <v>60</v>
      </c>
      <c r="J562">
        <v>1</v>
      </c>
      <c r="K562">
        <v>4</v>
      </c>
      <c r="L562" s="1">
        <v>44779</v>
      </c>
      <c r="M562" s="1" t="s">
        <v>9</v>
      </c>
    </row>
    <row r="563" spans="1:13" x14ac:dyDescent="0.25">
      <c r="A563">
        <v>1562</v>
      </c>
      <c r="B563">
        <v>21</v>
      </c>
      <c r="C563" t="s">
        <v>31</v>
      </c>
      <c r="D563" t="s">
        <v>36</v>
      </c>
      <c r="E563" t="s">
        <v>20</v>
      </c>
      <c r="F563" t="s">
        <v>17</v>
      </c>
      <c r="G563">
        <v>48817</v>
      </c>
      <c r="H563">
        <v>5</v>
      </c>
      <c r="I563">
        <v>49</v>
      </c>
      <c r="J563">
        <v>3</v>
      </c>
      <c r="K563">
        <v>5</v>
      </c>
      <c r="L563" s="1">
        <v>43936</v>
      </c>
      <c r="M563" s="1">
        <v>44251</v>
      </c>
    </row>
    <row r="564" spans="1:13" x14ac:dyDescent="0.25">
      <c r="A564">
        <v>1563</v>
      </c>
      <c r="B564">
        <v>21</v>
      </c>
      <c r="C564" t="s">
        <v>32</v>
      </c>
      <c r="D564" t="s">
        <v>22</v>
      </c>
      <c r="E564" t="s">
        <v>20</v>
      </c>
      <c r="F564" t="s">
        <v>24</v>
      </c>
      <c r="G564">
        <v>74551</v>
      </c>
      <c r="H564">
        <v>20</v>
      </c>
      <c r="I564">
        <v>51</v>
      </c>
      <c r="J564">
        <v>5</v>
      </c>
      <c r="K564">
        <v>10</v>
      </c>
      <c r="L564" s="1">
        <v>42779</v>
      </c>
      <c r="M564" s="1" t="s">
        <v>9</v>
      </c>
    </row>
    <row r="565" spans="1:13" x14ac:dyDescent="0.25">
      <c r="A565">
        <v>1564</v>
      </c>
      <c r="B565">
        <v>32</v>
      </c>
      <c r="C565" t="s">
        <v>31</v>
      </c>
      <c r="D565" t="s">
        <v>35</v>
      </c>
      <c r="E565" t="s">
        <v>41</v>
      </c>
      <c r="F565" t="s">
        <v>17</v>
      </c>
      <c r="G565">
        <v>46588</v>
      </c>
      <c r="H565">
        <v>27</v>
      </c>
      <c r="I565">
        <v>56</v>
      </c>
      <c r="J565">
        <v>4</v>
      </c>
      <c r="K565">
        <v>4</v>
      </c>
      <c r="L565" s="1">
        <v>42627</v>
      </c>
      <c r="M565" s="1" t="s">
        <v>9</v>
      </c>
    </row>
    <row r="566" spans="1:13" x14ac:dyDescent="0.25">
      <c r="A566">
        <v>1565</v>
      </c>
      <c r="B566">
        <v>36</v>
      </c>
      <c r="C566" t="s">
        <v>31</v>
      </c>
      <c r="D566" t="s">
        <v>16</v>
      </c>
      <c r="E566" t="s">
        <v>28</v>
      </c>
      <c r="F566" t="s">
        <v>15</v>
      </c>
      <c r="G566">
        <v>83983</v>
      </c>
      <c r="H566">
        <v>22</v>
      </c>
      <c r="I566">
        <v>43</v>
      </c>
      <c r="J566" t="s">
        <v>9</v>
      </c>
      <c r="K566">
        <v>7</v>
      </c>
      <c r="L566" s="1">
        <v>43233</v>
      </c>
      <c r="M566" s="1" t="s">
        <v>9</v>
      </c>
    </row>
    <row r="567" spans="1:13" x14ac:dyDescent="0.25">
      <c r="A567">
        <v>1566</v>
      </c>
      <c r="B567">
        <v>30</v>
      </c>
      <c r="C567" t="s">
        <v>32</v>
      </c>
      <c r="D567" t="s">
        <v>27</v>
      </c>
      <c r="E567" t="s">
        <v>28</v>
      </c>
      <c r="F567" t="s">
        <v>21</v>
      </c>
      <c r="G567">
        <v>59067</v>
      </c>
      <c r="H567">
        <v>2</v>
      </c>
      <c r="I567">
        <v>21</v>
      </c>
      <c r="J567">
        <v>2</v>
      </c>
      <c r="K567">
        <v>3</v>
      </c>
      <c r="L567" s="1">
        <v>42292</v>
      </c>
      <c r="M567" s="1" t="s">
        <v>9</v>
      </c>
    </row>
    <row r="568" spans="1:13" x14ac:dyDescent="0.25">
      <c r="A568">
        <v>1567</v>
      </c>
      <c r="B568">
        <v>44</v>
      </c>
      <c r="C568" t="s">
        <v>31</v>
      </c>
      <c r="D568" t="s">
        <v>35</v>
      </c>
      <c r="E568" t="s">
        <v>39</v>
      </c>
      <c r="F568" t="s">
        <v>40</v>
      </c>
      <c r="G568">
        <v>103788</v>
      </c>
      <c r="H568">
        <v>19</v>
      </c>
      <c r="I568">
        <v>22</v>
      </c>
      <c r="J568">
        <v>4</v>
      </c>
      <c r="K568">
        <v>7</v>
      </c>
      <c r="L568" s="1">
        <v>45478</v>
      </c>
      <c r="M568" s="1">
        <v>45373</v>
      </c>
    </row>
    <row r="569" spans="1:13" x14ac:dyDescent="0.25">
      <c r="A569">
        <v>1568</v>
      </c>
      <c r="B569">
        <v>56</v>
      </c>
      <c r="C569" t="s">
        <v>31</v>
      </c>
      <c r="D569" t="s">
        <v>27</v>
      </c>
      <c r="E569" t="s">
        <v>14</v>
      </c>
      <c r="F569" t="s">
        <v>17</v>
      </c>
      <c r="G569">
        <v>57409</v>
      </c>
      <c r="H569">
        <v>23</v>
      </c>
      <c r="I569">
        <v>46</v>
      </c>
      <c r="J569" t="s">
        <v>9</v>
      </c>
      <c r="K569">
        <v>10</v>
      </c>
      <c r="L569" s="1">
        <v>42053</v>
      </c>
      <c r="M569" s="1" t="s">
        <v>9</v>
      </c>
    </row>
    <row r="570" spans="1:13" x14ac:dyDescent="0.25">
      <c r="A570">
        <v>1569</v>
      </c>
      <c r="B570">
        <v>53</v>
      </c>
      <c r="C570" t="s">
        <v>32</v>
      </c>
      <c r="D570" t="s">
        <v>27</v>
      </c>
      <c r="E570" t="s">
        <v>41</v>
      </c>
      <c r="F570" t="s">
        <v>17</v>
      </c>
      <c r="G570">
        <v>53139</v>
      </c>
      <c r="H570">
        <v>14</v>
      </c>
      <c r="I570">
        <v>25</v>
      </c>
      <c r="J570">
        <v>3</v>
      </c>
      <c r="K570">
        <v>8</v>
      </c>
      <c r="L570" s="1">
        <v>43847</v>
      </c>
      <c r="M570" s="1" t="s">
        <v>9</v>
      </c>
    </row>
    <row r="571" spans="1:13" x14ac:dyDescent="0.25">
      <c r="A571">
        <v>1570</v>
      </c>
      <c r="B571">
        <v>52</v>
      </c>
      <c r="C571" t="s">
        <v>32</v>
      </c>
      <c r="D571" t="s">
        <v>19</v>
      </c>
      <c r="E571" t="s">
        <v>14</v>
      </c>
      <c r="F571" t="s">
        <v>26</v>
      </c>
      <c r="G571">
        <v>46044</v>
      </c>
      <c r="H571">
        <v>7</v>
      </c>
      <c r="I571">
        <v>21</v>
      </c>
      <c r="J571">
        <v>1</v>
      </c>
      <c r="K571">
        <v>3</v>
      </c>
      <c r="L571" s="1">
        <v>42739</v>
      </c>
      <c r="M571" s="1" t="s">
        <v>9</v>
      </c>
    </row>
    <row r="572" spans="1:13" x14ac:dyDescent="0.25">
      <c r="A572">
        <v>1571</v>
      </c>
      <c r="B572">
        <v>53</v>
      </c>
      <c r="C572" t="s">
        <v>32</v>
      </c>
      <c r="D572" t="s">
        <v>16</v>
      </c>
      <c r="E572" t="s">
        <v>14</v>
      </c>
      <c r="F572" t="s">
        <v>24</v>
      </c>
      <c r="G572">
        <v>49378</v>
      </c>
      <c r="H572">
        <v>13</v>
      </c>
      <c r="I572">
        <v>40</v>
      </c>
      <c r="J572" t="s">
        <v>9</v>
      </c>
      <c r="K572">
        <v>6</v>
      </c>
      <c r="L572" s="1">
        <v>44361</v>
      </c>
      <c r="M572" s="1" t="s">
        <v>9</v>
      </c>
    </row>
    <row r="573" spans="1:13" x14ac:dyDescent="0.25">
      <c r="A573">
        <v>1572</v>
      </c>
      <c r="B573">
        <v>28</v>
      </c>
      <c r="C573" t="s">
        <v>32</v>
      </c>
      <c r="D573" t="s">
        <v>22</v>
      </c>
      <c r="E573" t="s">
        <v>25</v>
      </c>
      <c r="F573" t="s">
        <v>26</v>
      </c>
      <c r="G573">
        <v>99582</v>
      </c>
      <c r="H573">
        <v>20</v>
      </c>
      <c r="I573">
        <v>8</v>
      </c>
      <c r="J573">
        <v>1</v>
      </c>
      <c r="K573">
        <v>2</v>
      </c>
      <c r="L573" s="1">
        <v>42656</v>
      </c>
      <c r="M573" s="1" t="s">
        <v>9</v>
      </c>
    </row>
    <row r="574" spans="1:13" x14ac:dyDescent="0.25">
      <c r="A574">
        <v>1573</v>
      </c>
      <c r="B574">
        <v>51</v>
      </c>
      <c r="C574" t="s">
        <v>32</v>
      </c>
      <c r="D574" t="s">
        <v>38</v>
      </c>
      <c r="E574" t="s">
        <v>12</v>
      </c>
      <c r="F574" t="s">
        <v>17</v>
      </c>
      <c r="G574">
        <v>102164</v>
      </c>
      <c r="H574">
        <v>5</v>
      </c>
      <c r="I574">
        <v>2</v>
      </c>
      <c r="J574">
        <v>4</v>
      </c>
      <c r="K574">
        <v>10</v>
      </c>
      <c r="L574" s="1">
        <v>42565</v>
      </c>
      <c r="M574" s="1" t="s">
        <v>9</v>
      </c>
    </row>
    <row r="575" spans="1:13" x14ac:dyDescent="0.25">
      <c r="A575">
        <v>1574</v>
      </c>
      <c r="B575">
        <v>28</v>
      </c>
      <c r="C575" t="s">
        <v>32</v>
      </c>
      <c r="D575" t="s">
        <v>23</v>
      </c>
      <c r="E575" t="s">
        <v>28</v>
      </c>
      <c r="F575" t="s">
        <v>40</v>
      </c>
      <c r="G575">
        <v>56915</v>
      </c>
      <c r="H575">
        <v>30</v>
      </c>
      <c r="I575">
        <v>19</v>
      </c>
      <c r="J575" t="s">
        <v>9</v>
      </c>
      <c r="K575">
        <v>5</v>
      </c>
      <c r="L575" s="1">
        <v>44480</v>
      </c>
      <c r="M575" s="1" t="s">
        <v>9</v>
      </c>
    </row>
    <row r="576" spans="1:13" x14ac:dyDescent="0.25">
      <c r="A576">
        <v>1575</v>
      </c>
      <c r="B576">
        <v>43</v>
      </c>
      <c r="C576" t="s">
        <v>32</v>
      </c>
      <c r="D576" t="s">
        <v>23</v>
      </c>
      <c r="E576" t="s">
        <v>28</v>
      </c>
      <c r="F576" t="s">
        <v>18</v>
      </c>
      <c r="G576">
        <v>79846</v>
      </c>
      <c r="H576">
        <v>5</v>
      </c>
      <c r="I576">
        <v>56</v>
      </c>
      <c r="J576">
        <v>2</v>
      </c>
      <c r="K576">
        <v>7</v>
      </c>
      <c r="L576" s="1">
        <v>44768</v>
      </c>
      <c r="M576" s="1">
        <v>42711</v>
      </c>
    </row>
    <row r="577" spans="1:13" x14ac:dyDescent="0.25">
      <c r="A577">
        <v>1576</v>
      </c>
      <c r="B577">
        <v>23</v>
      </c>
      <c r="C577" t="s">
        <v>32</v>
      </c>
      <c r="D577" t="s">
        <v>23</v>
      </c>
      <c r="E577" t="s">
        <v>25</v>
      </c>
      <c r="F577" t="s">
        <v>29</v>
      </c>
      <c r="G577">
        <v>91459</v>
      </c>
      <c r="H577">
        <v>3</v>
      </c>
      <c r="I577">
        <v>13</v>
      </c>
      <c r="J577">
        <v>4</v>
      </c>
      <c r="K577">
        <v>10</v>
      </c>
      <c r="L577" s="1">
        <v>43316</v>
      </c>
      <c r="M577" s="1">
        <v>43718</v>
      </c>
    </row>
    <row r="578" spans="1:13" x14ac:dyDescent="0.25">
      <c r="A578">
        <v>1577</v>
      </c>
      <c r="B578">
        <v>26</v>
      </c>
      <c r="C578" t="s">
        <v>32</v>
      </c>
      <c r="D578" t="s">
        <v>13</v>
      </c>
      <c r="E578" t="s">
        <v>28</v>
      </c>
      <c r="F578" t="s">
        <v>15</v>
      </c>
      <c r="G578">
        <v>52336</v>
      </c>
      <c r="H578">
        <v>23</v>
      </c>
      <c r="I578">
        <v>34</v>
      </c>
      <c r="J578">
        <v>1</v>
      </c>
      <c r="K578">
        <v>10</v>
      </c>
      <c r="L578" s="1">
        <v>42126</v>
      </c>
      <c r="M578" s="1" t="s">
        <v>9</v>
      </c>
    </row>
    <row r="579" spans="1:13" x14ac:dyDescent="0.25">
      <c r="A579">
        <v>1578</v>
      </c>
      <c r="B579">
        <v>48</v>
      </c>
      <c r="C579" t="s">
        <v>31</v>
      </c>
      <c r="D579" t="s">
        <v>38</v>
      </c>
      <c r="E579" t="s">
        <v>12</v>
      </c>
      <c r="F579" t="s">
        <v>21</v>
      </c>
      <c r="G579">
        <v>91325</v>
      </c>
      <c r="H579">
        <v>18</v>
      </c>
      <c r="I579">
        <v>18</v>
      </c>
      <c r="J579">
        <v>1</v>
      </c>
      <c r="K579">
        <v>6</v>
      </c>
      <c r="L579" s="1">
        <v>45549</v>
      </c>
      <c r="M579" s="1">
        <v>42666</v>
      </c>
    </row>
    <row r="580" spans="1:13" x14ac:dyDescent="0.25">
      <c r="A580">
        <v>1579</v>
      </c>
      <c r="B580">
        <v>24</v>
      </c>
      <c r="C580" t="s">
        <v>32</v>
      </c>
      <c r="D580" t="s">
        <v>36</v>
      </c>
      <c r="E580" t="s">
        <v>25</v>
      </c>
      <c r="F580" t="s">
        <v>26</v>
      </c>
      <c r="G580">
        <v>104302</v>
      </c>
      <c r="H580">
        <v>22</v>
      </c>
      <c r="I580">
        <v>9</v>
      </c>
      <c r="J580">
        <v>3</v>
      </c>
      <c r="K580">
        <v>5</v>
      </c>
      <c r="L580" s="1">
        <v>45531</v>
      </c>
      <c r="M580" s="1" t="s">
        <v>9</v>
      </c>
    </row>
    <row r="581" spans="1:13" x14ac:dyDescent="0.25">
      <c r="A581">
        <v>1580</v>
      </c>
      <c r="B581">
        <v>51</v>
      </c>
      <c r="C581" t="s">
        <v>32</v>
      </c>
      <c r="D581" t="s">
        <v>35</v>
      </c>
      <c r="E581" t="s">
        <v>39</v>
      </c>
      <c r="F581" t="s">
        <v>40</v>
      </c>
      <c r="G581">
        <v>51373</v>
      </c>
      <c r="H581">
        <v>20</v>
      </c>
      <c r="I581">
        <v>7</v>
      </c>
      <c r="J581">
        <v>5</v>
      </c>
      <c r="K581">
        <v>5</v>
      </c>
      <c r="L581" s="1">
        <v>43787</v>
      </c>
      <c r="M581" s="1" t="s">
        <v>9</v>
      </c>
    </row>
    <row r="582" spans="1:13" x14ac:dyDescent="0.25">
      <c r="A582">
        <v>1581</v>
      </c>
      <c r="B582">
        <v>44</v>
      </c>
      <c r="C582" t="s">
        <v>37</v>
      </c>
      <c r="D582" t="s">
        <v>16</v>
      </c>
      <c r="E582" t="s">
        <v>41</v>
      </c>
      <c r="F582" t="s">
        <v>29</v>
      </c>
      <c r="G582">
        <v>64786</v>
      </c>
      <c r="H582">
        <v>22</v>
      </c>
      <c r="I582">
        <v>30</v>
      </c>
      <c r="J582" t="s">
        <v>9</v>
      </c>
      <c r="K582">
        <v>9</v>
      </c>
      <c r="L582" s="1">
        <v>42042</v>
      </c>
      <c r="M582" s="1" t="s">
        <v>9</v>
      </c>
    </row>
    <row r="583" spans="1:13" x14ac:dyDescent="0.25">
      <c r="A583">
        <v>1582</v>
      </c>
      <c r="B583">
        <v>58</v>
      </c>
      <c r="C583" t="s">
        <v>33</v>
      </c>
      <c r="D583" t="s">
        <v>23</v>
      </c>
      <c r="E583" t="s">
        <v>14</v>
      </c>
      <c r="F583" t="s">
        <v>21</v>
      </c>
      <c r="G583">
        <v>97744</v>
      </c>
      <c r="H583">
        <v>6</v>
      </c>
      <c r="I583">
        <v>42</v>
      </c>
      <c r="J583">
        <v>5</v>
      </c>
      <c r="K583">
        <v>10</v>
      </c>
      <c r="L583" s="1">
        <v>45109</v>
      </c>
      <c r="M583" s="1">
        <v>44661</v>
      </c>
    </row>
    <row r="584" spans="1:13" x14ac:dyDescent="0.25">
      <c r="A584">
        <v>1583</v>
      </c>
      <c r="B584">
        <v>33</v>
      </c>
      <c r="C584" t="s">
        <v>32</v>
      </c>
      <c r="D584" t="s">
        <v>13</v>
      </c>
      <c r="E584" t="s">
        <v>12</v>
      </c>
      <c r="F584" t="s">
        <v>29</v>
      </c>
      <c r="G584">
        <v>86168</v>
      </c>
      <c r="H584">
        <v>27</v>
      </c>
      <c r="I584">
        <v>24</v>
      </c>
      <c r="J584">
        <v>5</v>
      </c>
      <c r="K584">
        <v>2</v>
      </c>
      <c r="L584" s="1">
        <v>44457</v>
      </c>
      <c r="M584" s="1" t="s">
        <v>9</v>
      </c>
    </row>
    <row r="585" spans="1:13" x14ac:dyDescent="0.25">
      <c r="A585">
        <v>1584</v>
      </c>
      <c r="B585">
        <v>21</v>
      </c>
      <c r="C585" t="s">
        <v>43</v>
      </c>
      <c r="D585" t="s">
        <v>23</v>
      </c>
      <c r="E585" t="s">
        <v>25</v>
      </c>
      <c r="F585" t="s">
        <v>29</v>
      </c>
      <c r="G585">
        <v>97104</v>
      </c>
      <c r="H585">
        <v>27</v>
      </c>
      <c r="I585">
        <v>20</v>
      </c>
      <c r="J585">
        <v>1</v>
      </c>
      <c r="K585">
        <v>2</v>
      </c>
      <c r="L585" s="1">
        <v>43812</v>
      </c>
      <c r="M585" s="1" t="s">
        <v>9</v>
      </c>
    </row>
    <row r="586" spans="1:13" x14ac:dyDescent="0.25">
      <c r="A586">
        <v>1585</v>
      </c>
      <c r="B586">
        <v>47</v>
      </c>
      <c r="C586" t="s">
        <v>32</v>
      </c>
      <c r="D586" t="s">
        <v>38</v>
      </c>
      <c r="E586" t="s">
        <v>12</v>
      </c>
      <c r="F586" t="s">
        <v>44</v>
      </c>
      <c r="G586">
        <v>86661</v>
      </c>
      <c r="H586">
        <v>22</v>
      </c>
      <c r="I586">
        <v>35</v>
      </c>
      <c r="J586">
        <v>2</v>
      </c>
      <c r="K586">
        <v>4</v>
      </c>
      <c r="L586" s="1">
        <v>44080</v>
      </c>
      <c r="M586" s="1" t="s">
        <v>9</v>
      </c>
    </row>
    <row r="587" spans="1:13" x14ac:dyDescent="0.25">
      <c r="A587">
        <v>1586</v>
      </c>
      <c r="B587">
        <v>51</v>
      </c>
      <c r="C587" t="s">
        <v>31</v>
      </c>
      <c r="D587" t="s">
        <v>13</v>
      </c>
      <c r="E587" t="s">
        <v>25</v>
      </c>
      <c r="F587" t="s">
        <v>17</v>
      </c>
      <c r="G587">
        <v>78572</v>
      </c>
      <c r="H587">
        <v>13</v>
      </c>
      <c r="I587">
        <v>5</v>
      </c>
      <c r="J587">
        <v>4</v>
      </c>
      <c r="K587">
        <v>5</v>
      </c>
      <c r="L587" s="1">
        <v>45586</v>
      </c>
      <c r="M587" s="1" t="s">
        <v>9</v>
      </c>
    </row>
    <row r="588" spans="1:13" x14ac:dyDescent="0.25">
      <c r="A588">
        <v>1587</v>
      </c>
      <c r="B588">
        <v>42</v>
      </c>
      <c r="C588" t="s">
        <v>31</v>
      </c>
      <c r="D588" t="s">
        <v>22</v>
      </c>
      <c r="E588" t="s">
        <v>20</v>
      </c>
      <c r="F588" t="s">
        <v>18</v>
      </c>
      <c r="G588">
        <v>73449</v>
      </c>
      <c r="H588">
        <v>10</v>
      </c>
      <c r="I588">
        <v>0</v>
      </c>
      <c r="J588" t="s">
        <v>9</v>
      </c>
      <c r="K588">
        <v>10</v>
      </c>
      <c r="L588" s="1">
        <v>42907</v>
      </c>
      <c r="M588" s="1" t="s">
        <v>9</v>
      </c>
    </row>
    <row r="589" spans="1:13" x14ac:dyDescent="0.25">
      <c r="A589">
        <v>1588</v>
      </c>
      <c r="B589">
        <v>39</v>
      </c>
      <c r="C589" t="s">
        <v>31</v>
      </c>
      <c r="D589" t="s">
        <v>13</v>
      </c>
      <c r="E589" t="s">
        <v>34</v>
      </c>
      <c r="F589" t="s">
        <v>40</v>
      </c>
      <c r="G589">
        <v>54450</v>
      </c>
      <c r="H589">
        <v>28</v>
      </c>
      <c r="I589">
        <v>9</v>
      </c>
      <c r="J589">
        <v>3</v>
      </c>
      <c r="K589">
        <v>3</v>
      </c>
      <c r="L589" s="1">
        <v>44882</v>
      </c>
      <c r="M589" s="1" t="s">
        <v>9</v>
      </c>
    </row>
    <row r="590" spans="1:13" x14ac:dyDescent="0.25">
      <c r="A590">
        <v>1589</v>
      </c>
      <c r="B590">
        <v>49</v>
      </c>
      <c r="C590" t="s">
        <v>31</v>
      </c>
      <c r="D590" t="s">
        <v>16</v>
      </c>
      <c r="E590" t="s">
        <v>25</v>
      </c>
      <c r="F590" t="s">
        <v>29</v>
      </c>
      <c r="G590">
        <v>67337</v>
      </c>
      <c r="H590">
        <v>13</v>
      </c>
      <c r="I590">
        <v>50</v>
      </c>
      <c r="J590">
        <v>5</v>
      </c>
      <c r="K590">
        <v>3</v>
      </c>
      <c r="L590" s="1">
        <v>43226</v>
      </c>
      <c r="M590" s="1">
        <v>45042</v>
      </c>
    </row>
    <row r="591" spans="1:13" x14ac:dyDescent="0.25">
      <c r="A591">
        <v>1590</v>
      </c>
      <c r="B591">
        <v>21</v>
      </c>
      <c r="C591" t="s">
        <v>31</v>
      </c>
      <c r="D591" t="s">
        <v>27</v>
      </c>
      <c r="E591" t="s">
        <v>25</v>
      </c>
      <c r="F591" t="s">
        <v>24</v>
      </c>
      <c r="G591">
        <v>89076</v>
      </c>
      <c r="H591">
        <v>12</v>
      </c>
      <c r="I591">
        <v>10</v>
      </c>
      <c r="J591">
        <v>4</v>
      </c>
      <c r="K591">
        <v>6</v>
      </c>
      <c r="L591" s="1">
        <v>44752</v>
      </c>
      <c r="M591" s="1" t="s">
        <v>9</v>
      </c>
    </row>
    <row r="592" spans="1:13" x14ac:dyDescent="0.25">
      <c r="A592">
        <v>1591</v>
      </c>
      <c r="B592">
        <v>42</v>
      </c>
      <c r="C592" t="s">
        <v>31</v>
      </c>
      <c r="D592" t="s">
        <v>22</v>
      </c>
      <c r="E592" t="s">
        <v>14</v>
      </c>
      <c r="F592" t="s">
        <v>15</v>
      </c>
      <c r="G592">
        <v>96481</v>
      </c>
      <c r="H592">
        <v>23</v>
      </c>
      <c r="I592">
        <v>8</v>
      </c>
      <c r="J592">
        <v>4</v>
      </c>
      <c r="K592">
        <v>5</v>
      </c>
      <c r="L592" s="1">
        <v>44761</v>
      </c>
      <c r="M592" s="1" t="s">
        <v>9</v>
      </c>
    </row>
    <row r="593" spans="1:13" x14ac:dyDescent="0.25">
      <c r="A593">
        <v>1592</v>
      </c>
      <c r="B593">
        <v>47</v>
      </c>
      <c r="C593" t="s">
        <v>32</v>
      </c>
      <c r="D593" t="s">
        <v>19</v>
      </c>
      <c r="E593" t="s">
        <v>14</v>
      </c>
      <c r="F593" t="s">
        <v>17</v>
      </c>
      <c r="G593">
        <v>76307</v>
      </c>
      <c r="H593">
        <v>26</v>
      </c>
      <c r="I593">
        <v>32</v>
      </c>
      <c r="J593">
        <v>2</v>
      </c>
      <c r="K593">
        <v>4</v>
      </c>
      <c r="L593" s="1">
        <v>42572</v>
      </c>
      <c r="M593" s="1" t="s">
        <v>9</v>
      </c>
    </row>
    <row r="594" spans="1:13" x14ac:dyDescent="0.25">
      <c r="A594">
        <v>1593</v>
      </c>
      <c r="B594">
        <v>33</v>
      </c>
      <c r="C594" t="s">
        <v>32</v>
      </c>
      <c r="D594" t="s">
        <v>23</v>
      </c>
      <c r="E594" t="s">
        <v>20</v>
      </c>
      <c r="F594" t="s">
        <v>29</v>
      </c>
      <c r="G594">
        <v>92148</v>
      </c>
      <c r="H594">
        <v>13</v>
      </c>
      <c r="I594">
        <v>42</v>
      </c>
      <c r="J594">
        <v>2</v>
      </c>
      <c r="K594">
        <v>7</v>
      </c>
      <c r="L594" s="1">
        <v>45348</v>
      </c>
      <c r="M594" s="1" t="s">
        <v>9</v>
      </c>
    </row>
    <row r="595" spans="1:13" x14ac:dyDescent="0.25">
      <c r="A595">
        <v>1594</v>
      </c>
      <c r="B595">
        <v>26</v>
      </c>
      <c r="C595" t="s">
        <v>32</v>
      </c>
      <c r="D595" t="s">
        <v>23</v>
      </c>
      <c r="E595" t="s">
        <v>14</v>
      </c>
      <c r="F595" t="s">
        <v>17</v>
      </c>
      <c r="G595">
        <v>55389</v>
      </c>
      <c r="H595">
        <v>3</v>
      </c>
      <c r="I595">
        <v>29</v>
      </c>
      <c r="J595">
        <v>1</v>
      </c>
      <c r="K595">
        <v>9</v>
      </c>
      <c r="L595" s="1">
        <v>42380</v>
      </c>
      <c r="M595" s="1" t="s">
        <v>9</v>
      </c>
    </row>
    <row r="596" spans="1:13" x14ac:dyDescent="0.25">
      <c r="A596">
        <v>1595</v>
      </c>
      <c r="B596">
        <v>29</v>
      </c>
      <c r="C596" t="s">
        <v>31</v>
      </c>
      <c r="D596" t="s">
        <v>16</v>
      </c>
      <c r="E596" t="s">
        <v>12</v>
      </c>
      <c r="F596" t="s">
        <v>29</v>
      </c>
      <c r="G596">
        <v>49838</v>
      </c>
      <c r="H596">
        <v>0</v>
      </c>
      <c r="I596">
        <v>37</v>
      </c>
      <c r="J596">
        <v>5</v>
      </c>
      <c r="K596">
        <v>7</v>
      </c>
      <c r="L596" s="1">
        <v>42772</v>
      </c>
      <c r="M596" s="1">
        <v>42759</v>
      </c>
    </row>
    <row r="597" spans="1:13" x14ac:dyDescent="0.25">
      <c r="A597">
        <v>1596</v>
      </c>
      <c r="B597">
        <v>36</v>
      </c>
      <c r="C597" t="s">
        <v>37</v>
      </c>
      <c r="D597" t="s">
        <v>27</v>
      </c>
      <c r="E597" t="s">
        <v>25</v>
      </c>
      <c r="F597" t="s">
        <v>17</v>
      </c>
      <c r="G597">
        <v>82452</v>
      </c>
      <c r="H597">
        <v>24</v>
      </c>
      <c r="I597">
        <v>18</v>
      </c>
      <c r="J597">
        <v>1</v>
      </c>
      <c r="K597">
        <v>3</v>
      </c>
      <c r="L597" s="1">
        <v>42588</v>
      </c>
      <c r="M597" s="1" t="s">
        <v>9</v>
      </c>
    </row>
    <row r="598" spans="1:13" x14ac:dyDescent="0.25">
      <c r="A598">
        <v>1597</v>
      </c>
      <c r="B598">
        <v>44</v>
      </c>
      <c r="C598" t="s">
        <v>32</v>
      </c>
      <c r="D598" t="s">
        <v>22</v>
      </c>
      <c r="E598" t="s">
        <v>25</v>
      </c>
      <c r="F598" t="s">
        <v>29</v>
      </c>
      <c r="G598">
        <v>107047</v>
      </c>
      <c r="H598">
        <v>21</v>
      </c>
      <c r="I598">
        <v>33</v>
      </c>
      <c r="J598">
        <v>1</v>
      </c>
      <c r="K598">
        <v>3</v>
      </c>
      <c r="L598" s="1">
        <v>42903</v>
      </c>
      <c r="M598" s="1" t="s">
        <v>9</v>
      </c>
    </row>
    <row r="599" spans="1:13" x14ac:dyDescent="0.25">
      <c r="A599">
        <v>1598</v>
      </c>
      <c r="B599">
        <v>38</v>
      </c>
      <c r="C599" t="s">
        <v>32</v>
      </c>
      <c r="D599" t="s">
        <v>16</v>
      </c>
      <c r="E599" t="s">
        <v>20</v>
      </c>
      <c r="F599" t="s">
        <v>40</v>
      </c>
      <c r="G599">
        <v>81015</v>
      </c>
      <c r="H599">
        <v>4</v>
      </c>
      <c r="I599">
        <v>5</v>
      </c>
      <c r="J599" t="s">
        <v>9</v>
      </c>
      <c r="K599">
        <v>3</v>
      </c>
      <c r="L599" s="1">
        <v>43910</v>
      </c>
      <c r="M599" s="1" t="s">
        <v>9</v>
      </c>
    </row>
    <row r="600" spans="1:13" x14ac:dyDescent="0.25">
      <c r="A600">
        <v>1599</v>
      </c>
      <c r="B600">
        <v>43</v>
      </c>
      <c r="C600" t="s">
        <v>31</v>
      </c>
      <c r="D600" t="s">
        <v>23</v>
      </c>
      <c r="E600" t="s">
        <v>25</v>
      </c>
      <c r="F600" t="s">
        <v>26</v>
      </c>
      <c r="G600">
        <v>68671</v>
      </c>
      <c r="H600">
        <v>12</v>
      </c>
      <c r="I600">
        <v>35</v>
      </c>
      <c r="J600">
        <v>2</v>
      </c>
      <c r="K600">
        <v>3</v>
      </c>
      <c r="L600" s="1">
        <v>43210</v>
      </c>
      <c r="M600" s="1">
        <v>42966</v>
      </c>
    </row>
    <row r="601" spans="1:13" x14ac:dyDescent="0.25">
      <c r="A601">
        <v>1600</v>
      </c>
      <c r="B601">
        <v>51</v>
      </c>
      <c r="C601" t="s">
        <v>31</v>
      </c>
      <c r="D601" t="s">
        <v>22</v>
      </c>
      <c r="E601" t="s">
        <v>39</v>
      </c>
      <c r="F601" t="s">
        <v>24</v>
      </c>
      <c r="G601">
        <v>102539</v>
      </c>
      <c r="H601">
        <v>22</v>
      </c>
      <c r="I601">
        <v>30</v>
      </c>
      <c r="J601">
        <v>1</v>
      </c>
      <c r="K601">
        <v>8</v>
      </c>
      <c r="L601" s="1">
        <v>42062</v>
      </c>
      <c r="M601" s="1">
        <v>44295</v>
      </c>
    </row>
    <row r="602" spans="1:13" x14ac:dyDescent="0.25">
      <c r="A602">
        <v>1601</v>
      </c>
      <c r="B602">
        <v>59</v>
      </c>
      <c r="C602" t="s">
        <v>32</v>
      </c>
      <c r="D602" t="s">
        <v>35</v>
      </c>
      <c r="E602" t="s">
        <v>14</v>
      </c>
      <c r="F602" t="s">
        <v>26</v>
      </c>
      <c r="G602">
        <v>59731</v>
      </c>
      <c r="H602">
        <v>1</v>
      </c>
      <c r="I602">
        <v>40</v>
      </c>
      <c r="J602">
        <v>1</v>
      </c>
      <c r="K602">
        <v>3</v>
      </c>
      <c r="L602" s="1">
        <v>45120</v>
      </c>
      <c r="M602" s="1" t="s">
        <v>9</v>
      </c>
    </row>
    <row r="603" spans="1:13" x14ac:dyDescent="0.25">
      <c r="A603">
        <v>1602</v>
      </c>
      <c r="B603">
        <v>34</v>
      </c>
      <c r="C603" t="s">
        <v>32</v>
      </c>
      <c r="D603" t="s">
        <v>38</v>
      </c>
      <c r="E603" t="s">
        <v>20</v>
      </c>
      <c r="F603" t="s">
        <v>21</v>
      </c>
      <c r="G603">
        <v>55659</v>
      </c>
      <c r="H603">
        <v>24</v>
      </c>
      <c r="I603">
        <v>29</v>
      </c>
      <c r="J603">
        <v>4</v>
      </c>
      <c r="K603">
        <v>3</v>
      </c>
      <c r="L603" s="1">
        <v>43055</v>
      </c>
      <c r="M603" s="1">
        <v>44065</v>
      </c>
    </row>
    <row r="604" spans="1:13" x14ac:dyDescent="0.25">
      <c r="A604">
        <v>1603</v>
      </c>
      <c r="B604">
        <v>49</v>
      </c>
      <c r="C604" t="s">
        <v>31</v>
      </c>
      <c r="D604" t="s">
        <v>22</v>
      </c>
      <c r="E604" t="s">
        <v>25</v>
      </c>
      <c r="F604" t="s">
        <v>17</v>
      </c>
      <c r="G604">
        <v>58032</v>
      </c>
      <c r="H604">
        <v>21</v>
      </c>
      <c r="I604">
        <v>43</v>
      </c>
      <c r="J604">
        <v>4</v>
      </c>
      <c r="K604">
        <v>9</v>
      </c>
      <c r="L604" s="1">
        <v>45445</v>
      </c>
      <c r="M604" s="1" t="s">
        <v>9</v>
      </c>
    </row>
    <row r="605" spans="1:13" x14ac:dyDescent="0.25">
      <c r="A605">
        <v>1604</v>
      </c>
      <c r="B605">
        <v>55</v>
      </c>
      <c r="C605" t="s">
        <v>31</v>
      </c>
      <c r="D605" t="s">
        <v>36</v>
      </c>
      <c r="E605" t="s">
        <v>41</v>
      </c>
      <c r="F605" t="s">
        <v>26</v>
      </c>
      <c r="G605">
        <v>70543</v>
      </c>
      <c r="H605">
        <v>30</v>
      </c>
      <c r="I605">
        <v>4</v>
      </c>
      <c r="J605">
        <v>2</v>
      </c>
      <c r="K605">
        <v>6</v>
      </c>
      <c r="L605" s="1">
        <v>44239</v>
      </c>
      <c r="M605" s="1" t="s">
        <v>9</v>
      </c>
    </row>
    <row r="606" spans="1:13" x14ac:dyDescent="0.25">
      <c r="A606">
        <v>1605</v>
      </c>
      <c r="B606">
        <v>45</v>
      </c>
      <c r="C606" t="s">
        <v>31</v>
      </c>
      <c r="D606" t="s">
        <v>35</v>
      </c>
      <c r="E606" t="s">
        <v>12</v>
      </c>
      <c r="F606" t="s">
        <v>18</v>
      </c>
      <c r="G606">
        <v>60165</v>
      </c>
      <c r="H606">
        <v>10</v>
      </c>
      <c r="I606">
        <v>50</v>
      </c>
      <c r="J606">
        <v>4</v>
      </c>
      <c r="K606">
        <v>10</v>
      </c>
      <c r="L606" s="1">
        <v>44513</v>
      </c>
      <c r="M606" s="1" t="s">
        <v>9</v>
      </c>
    </row>
    <row r="607" spans="1:13" x14ac:dyDescent="0.25">
      <c r="A607">
        <v>1606</v>
      </c>
      <c r="B607">
        <v>46</v>
      </c>
      <c r="C607" t="s">
        <v>31</v>
      </c>
      <c r="D607" t="s">
        <v>23</v>
      </c>
      <c r="E607" t="s">
        <v>14</v>
      </c>
      <c r="F607" t="s">
        <v>44</v>
      </c>
      <c r="G607">
        <v>103723</v>
      </c>
      <c r="H607">
        <v>3</v>
      </c>
      <c r="I607">
        <v>30</v>
      </c>
      <c r="J607">
        <v>2</v>
      </c>
      <c r="K607">
        <v>5</v>
      </c>
      <c r="L607" s="1">
        <v>44048</v>
      </c>
      <c r="M607" s="1" t="s">
        <v>9</v>
      </c>
    </row>
    <row r="608" spans="1:13" x14ac:dyDescent="0.25">
      <c r="A608">
        <v>1607</v>
      </c>
      <c r="B608">
        <v>22</v>
      </c>
      <c r="C608" t="s">
        <v>33</v>
      </c>
      <c r="D608" t="s">
        <v>22</v>
      </c>
      <c r="E608" t="s">
        <v>14</v>
      </c>
      <c r="F608" t="s">
        <v>29</v>
      </c>
      <c r="G608">
        <v>79404</v>
      </c>
      <c r="H608">
        <v>8</v>
      </c>
      <c r="I608">
        <v>7</v>
      </c>
      <c r="J608">
        <v>3</v>
      </c>
      <c r="K608">
        <v>9</v>
      </c>
      <c r="L608" s="1">
        <v>44054</v>
      </c>
      <c r="M608" s="1" t="s">
        <v>9</v>
      </c>
    </row>
    <row r="609" spans="1:13" x14ac:dyDescent="0.25">
      <c r="A609">
        <v>1608</v>
      </c>
      <c r="B609">
        <v>26</v>
      </c>
      <c r="C609" t="s">
        <v>33</v>
      </c>
      <c r="D609" t="s">
        <v>27</v>
      </c>
      <c r="E609" t="s">
        <v>20</v>
      </c>
      <c r="F609" t="s">
        <v>42</v>
      </c>
      <c r="G609">
        <v>89893</v>
      </c>
      <c r="H609">
        <v>21</v>
      </c>
      <c r="I609">
        <v>41</v>
      </c>
      <c r="J609" t="s">
        <v>9</v>
      </c>
      <c r="K609">
        <v>10</v>
      </c>
      <c r="L609" s="1">
        <v>44550</v>
      </c>
      <c r="M609" s="1" t="s">
        <v>9</v>
      </c>
    </row>
    <row r="610" spans="1:13" x14ac:dyDescent="0.25">
      <c r="A610">
        <v>1609</v>
      </c>
      <c r="B610">
        <v>34</v>
      </c>
      <c r="C610" t="s">
        <v>32</v>
      </c>
      <c r="D610" t="s">
        <v>27</v>
      </c>
      <c r="E610" t="s">
        <v>28</v>
      </c>
      <c r="F610" t="s">
        <v>15</v>
      </c>
      <c r="G610">
        <v>59158</v>
      </c>
      <c r="H610">
        <v>15</v>
      </c>
      <c r="I610">
        <v>18</v>
      </c>
      <c r="J610">
        <v>3</v>
      </c>
      <c r="K610">
        <v>7</v>
      </c>
      <c r="L610" s="1">
        <v>44698</v>
      </c>
      <c r="M610" s="1">
        <v>45021</v>
      </c>
    </row>
    <row r="611" spans="1:13" x14ac:dyDescent="0.25">
      <c r="A611">
        <v>1610</v>
      </c>
      <c r="B611">
        <v>22</v>
      </c>
      <c r="C611" t="s">
        <v>43</v>
      </c>
      <c r="D611" t="s">
        <v>13</v>
      </c>
      <c r="E611" t="s">
        <v>12</v>
      </c>
      <c r="F611" t="s">
        <v>17</v>
      </c>
      <c r="G611">
        <v>61840</v>
      </c>
      <c r="H611">
        <v>22</v>
      </c>
      <c r="I611">
        <v>3</v>
      </c>
      <c r="J611">
        <v>4</v>
      </c>
      <c r="K611">
        <v>1</v>
      </c>
      <c r="L611" s="1">
        <v>44290</v>
      </c>
      <c r="M611" s="1" t="s">
        <v>9</v>
      </c>
    </row>
    <row r="612" spans="1:13" x14ac:dyDescent="0.25">
      <c r="A612">
        <v>1611</v>
      </c>
      <c r="B612">
        <v>38</v>
      </c>
      <c r="C612" t="s">
        <v>32</v>
      </c>
      <c r="D612" t="s">
        <v>16</v>
      </c>
      <c r="E612" t="s">
        <v>28</v>
      </c>
      <c r="F612" t="s">
        <v>29</v>
      </c>
      <c r="G612">
        <v>60119</v>
      </c>
      <c r="H612">
        <v>0</v>
      </c>
      <c r="I612">
        <v>60</v>
      </c>
      <c r="J612">
        <v>1</v>
      </c>
      <c r="K612">
        <v>2</v>
      </c>
      <c r="L612" s="1">
        <v>42177</v>
      </c>
      <c r="M612" s="1" t="s">
        <v>9</v>
      </c>
    </row>
    <row r="613" spans="1:13" x14ac:dyDescent="0.25">
      <c r="A613">
        <v>1612</v>
      </c>
      <c r="B613">
        <v>29</v>
      </c>
      <c r="C613" t="s">
        <v>32</v>
      </c>
      <c r="D613" t="s">
        <v>22</v>
      </c>
      <c r="E613" t="s">
        <v>25</v>
      </c>
      <c r="F613" t="s">
        <v>44</v>
      </c>
      <c r="G613">
        <v>56580</v>
      </c>
      <c r="H613">
        <v>16</v>
      </c>
      <c r="I613">
        <v>2</v>
      </c>
      <c r="J613">
        <v>1</v>
      </c>
      <c r="K613">
        <v>6</v>
      </c>
      <c r="L613" s="1">
        <v>45271</v>
      </c>
      <c r="M613" s="1">
        <v>44374</v>
      </c>
    </row>
    <row r="614" spans="1:13" x14ac:dyDescent="0.25">
      <c r="A614">
        <v>1613</v>
      </c>
      <c r="B614">
        <v>44</v>
      </c>
      <c r="C614" t="s">
        <v>31</v>
      </c>
      <c r="D614" t="s">
        <v>27</v>
      </c>
      <c r="E614" t="s">
        <v>28</v>
      </c>
      <c r="F614" t="s">
        <v>24</v>
      </c>
      <c r="G614">
        <v>65433</v>
      </c>
      <c r="H614">
        <v>29</v>
      </c>
      <c r="I614">
        <v>41</v>
      </c>
      <c r="J614">
        <v>2</v>
      </c>
      <c r="K614">
        <v>1</v>
      </c>
      <c r="L614" s="1">
        <v>43116</v>
      </c>
      <c r="M614" s="1" t="s">
        <v>9</v>
      </c>
    </row>
    <row r="615" spans="1:13" x14ac:dyDescent="0.25">
      <c r="A615">
        <v>1614</v>
      </c>
      <c r="B615">
        <v>58</v>
      </c>
      <c r="C615" t="s">
        <v>32</v>
      </c>
      <c r="D615" t="s">
        <v>36</v>
      </c>
      <c r="E615" t="s">
        <v>14</v>
      </c>
      <c r="F615" t="s">
        <v>17</v>
      </c>
      <c r="G615">
        <v>107042</v>
      </c>
      <c r="H615">
        <v>16</v>
      </c>
      <c r="I615">
        <v>25</v>
      </c>
      <c r="J615" t="s">
        <v>9</v>
      </c>
      <c r="K615">
        <v>1</v>
      </c>
      <c r="L615" s="1">
        <v>42071</v>
      </c>
      <c r="M615" s="1">
        <v>42748</v>
      </c>
    </row>
    <row r="616" spans="1:13" x14ac:dyDescent="0.25">
      <c r="A616">
        <v>1615</v>
      </c>
      <c r="B616">
        <v>51</v>
      </c>
      <c r="C616" t="s">
        <v>32</v>
      </c>
      <c r="D616" t="s">
        <v>16</v>
      </c>
      <c r="E616" t="s">
        <v>20</v>
      </c>
      <c r="F616" t="s">
        <v>21</v>
      </c>
      <c r="G616">
        <v>94740</v>
      </c>
      <c r="H616">
        <v>27</v>
      </c>
      <c r="I616">
        <v>20</v>
      </c>
      <c r="J616">
        <v>1</v>
      </c>
      <c r="K616">
        <v>9</v>
      </c>
      <c r="L616" s="1">
        <v>43851</v>
      </c>
      <c r="M616" s="1" t="s">
        <v>9</v>
      </c>
    </row>
    <row r="617" spans="1:13" x14ac:dyDescent="0.25">
      <c r="A617">
        <v>1616</v>
      </c>
      <c r="B617">
        <v>52</v>
      </c>
      <c r="C617" t="s">
        <v>37</v>
      </c>
      <c r="D617" t="s">
        <v>13</v>
      </c>
      <c r="E617" t="s">
        <v>25</v>
      </c>
      <c r="F617" t="s">
        <v>42</v>
      </c>
      <c r="G617">
        <v>104188</v>
      </c>
      <c r="H617">
        <v>27</v>
      </c>
      <c r="I617">
        <v>33</v>
      </c>
      <c r="J617">
        <v>1</v>
      </c>
      <c r="K617">
        <v>1</v>
      </c>
      <c r="L617" s="1">
        <v>44851</v>
      </c>
      <c r="M617" s="1" t="s">
        <v>9</v>
      </c>
    </row>
    <row r="618" spans="1:13" x14ac:dyDescent="0.25">
      <c r="A618">
        <v>1617</v>
      </c>
      <c r="B618">
        <v>28</v>
      </c>
      <c r="C618" t="s">
        <v>32</v>
      </c>
      <c r="D618" t="s">
        <v>36</v>
      </c>
      <c r="E618" t="s">
        <v>34</v>
      </c>
      <c r="F618" t="s">
        <v>24</v>
      </c>
      <c r="G618">
        <v>58641</v>
      </c>
      <c r="H618">
        <v>3</v>
      </c>
      <c r="I618">
        <v>6</v>
      </c>
      <c r="J618">
        <v>2</v>
      </c>
      <c r="K618">
        <v>9</v>
      </c>
      <c r="L618" s="1">
        <v>42599</v>
      </c>
      <c r="M618" s="1" t="s">
        <v>9</v>
      </c>
    </row>
    <row r="619" spans="1:13" x14ac:dyDescent="0.25">
      <c r="A619">
        <v>1618</v>
      </c>
      <c r="B619">
        <v>43</v>
      </c>
      <c r="C619" t="s">
        <v>31</v>
      </c>
      <c r="D619" t="s">
        <v>16</v>
      </c>
      <c r="E619" t="s">
        <v>34</v>
      </c>
      <c r="F619" t="s">
        <v>24</v>
      </c>
      <c r="G619">
        <v>92855</v>
      </c>
      <c r="H619">
        <v>11</v>
      </c>
      <c r="I619">
        <v>58</v>
      </c>
      <c r="J619">
        <v>2</v>
      </c>
      <c r="K619">
        <v>8</v>
      </c>
      <c r="L619" s="1">
        <v>44031</v>
      </c>
      <c r="M619" s="1" t="s">
        <v>9</v>
      </c>
    </row>
    <row r="620" spans="1:13" x14ac:dyDescent="0.25">
      <c r="A620">
        <v>1619</v>
      </c>
      <c r="B620">
        <v>57</v>
      </c>
      <c r="C620" t="s">
        <v>32</v>
      </c>
      <c r="D620" t="s">
        <v>38</v>
      </c>
      <c r="E620" t="s">
        <v>39</v>
      </c>
      <c r="F620" t="s">
        <v>24</v>
      </c>
      <c r="G620">
        <v>69123</v>
      </c>
      <c r="H620">
        <v>1</v>
      </c>
      <c r="I620">
        <v>13</v>
      </c>
      <c r="J620">
        <v>2</v>
      </c>
      <c r="K620">
        <v>5</v>
      </c>
      <c r="L620" s="1">
        <v>44554</v>
      </c>
      <c r="M620" s="1">
        <v>44620</v>
      </c>
    </row>
    <row r="621" spans="1:13" x14ac:dyDescent="0.25">
      <c r="A621">
        <v>1620</v>
      </c>
      <c r="B621">
        <v>25</v>
      </c>
      <c r="C621" t="s">
        <v>43</v>
      </c>
      <c r="D621" t="s">
        <v>23</v>
      </c>
      <c r="E621" t="s">
        <v>20</v>
      </c>
      <c r="F621" t="s">
        <v>18</v>
      </c>
      <c r="G621">
        <v>102414</v>
      </c>
      <c r="H621">
        <v>26</v>
      </c>
      <c r="I621">
        <v>19</v>
      </c>
      <c r="J621">
        <v>4</v>
      </c>
      <c r="K621">
        <v>10</v>
      </c>
      <c r="L621" s="1">
        <v>42498</v>
      </c>
      <c r="M621" s="1" t="s">
        <v>9</v>
      </c>
    </row>
    <row r="622" spans="1:13" x14ac:dyDescent="0.25">
      <c r="A622">
        <v>1621</v>
      </c>
      <c r="B622">
        <v>21</v>
      </c>
      <c r="C622" t="s">
        <v>31</v>
      </c>
      <c r="D622" t="s">
        <v>13</v>
      </c>
      <c r="E622" t="s">
        <v>12</v>
      </c>
      <c r="F622" t="s">
        <v>17</v>
      </c>
      <c r="G622">
        <v>70103</v>
      </c>
      <c r="H622">
        <v>24</v>
      </c>
      <c r="I622">
        <v>8</v>
      </c>
      <c r="J622">
        <v>5</v>
      </c>
      <c r="K622">
        <v>6</v>
      </c>
      <c r="L622" s="1">
        <v>45592</v>
      </c>
      <c r="M622" s="1" t="s">
        <v>9</v>
      </c>
    </row>
    <row r="623" spans="1:13" x14ac:dyDescent="0.25">
      <c r="A623">
        <v>1622</v>
      </c>
      <c r="B623">
        <v>52</v>
      </c>
      <c r="C623" t="s">
        <v>33</v>
      </c>
      <c r="D623" t="s">
        <v>27</v>
      </c>
      <c r="E623" t="s">
        <v>39</v>
      </c>
      <c r="F623" t="s">
        <v>17</v>
      </c>
      <c r="G623">
        <v>85228</v>
      </c>
      <c r="H623">
        <v>16</v>
      </c>
      <c r="I623">
        <v>40</v>
      </c>
      <c r="J623" t="s">
        <v>9</v>
      </c>
      <c r="K623">
        <v>6</v>
      </c>
      <c r="L623" s="1">
        <v>42670</v>
      </c>
      <c r="M623" s="1" t="s">
        <v>9</v>
      </c>
    </row>
    <row r="624" spans="1:13" x14ac:dyDescent="0.25">
      <c r="A624">
        <v>1623</v>
      </c>
      <c r="B624">
        <v>44</v>
      </c>
      <c r="C624" t="s">
        <v>32</v>
      </c>
      <c r="D624" t="s">
        <v>22</v>
      </c>
      <c r="E624" t="s">
        <v>28</v>
      </c>
      <c r="F624" t="s">
        <v>18</v>
      </c>
      <c r="G624">
        <v>89012</v>
      </c>
      <c r="H624">
        <v>29</v>
      </c>
      <c r="I624">
        <v>56</v>
      </c>
      <c r="J624" t="s">
        <v>9</v>
      </c>
      <c r="K624">
        <v>2</v>
      </c>
      <c r="L624" s="1">
        <v>44753</v>
      </c>
      <c r="M624" s="1" t="s">
        <v>9</v>
      </c>
    </row>
    <row r="625" spans="1:13" x14ac:dyDescent="0.25">
      <c r="A625">
        <v>1624</v>
      </c>
      <c r="B625">
        <v>35</v>
      </c>
      <c r="C625" t="s">
        <v>32</v>
      </c>
      <c r="D625" t="s">
        <v>16</v>
      </c>
      <c r="E625" t="s">
        <v>14</v>
      </c>
      <c r="F625" t="s">
        <v>26</v>
      </c>
      <c r="G625">
        <v>61826</v>
      </c>
      <c r="H625">
        <v>1</v>
      </c>
      <c r="I625">
        <v>51</v>
      </c>
      <c r="J625">
        <v>1</v>
      </c>
      <c r="K625">
        <v>10</v>
      </c>
      <c r="L625" s="1">
        <v>43218</v>
      </c>
      <c r="M625" s="1" t="s">
        <v>9</v>
      </c>
    </row>
    <row r="626" spans="1:13" x14ac:dyDescent="0.25">
      <c r="A626">
        <v>1625</v>
      </c>
      <c r="B626">
        <v>27</v>
      </c>
      <c r="C626" t="s">
        <v>31</v>
      </c>
      <c r="D626" t="s">
        <v>23</v>
      </c>
      <c r="E626" t="s">
        <v>41</v>
      </c>
      <c r="F626" t="s">
        <v>26</v>
      </c>
      <c r="G626">
        <v>90670</v>
      </c>
      <c r="H626">
        <v>26</v>
      </c>
      <c r="I626">
        <v>24</v>
      </c>
      <c r="J626">
        <v>3</v>
      </c>
      <c r="K626">
        <v>8</v>
      </c>
      <c r="L626" s="1">
        <v>42827</v>
      </c>
      <c r="M626" s="1">
        <v>44472</v>
      </c>
    </row>
    <row r="627" spans="1:13" x14ac:dyDescent="0.25">
      <c r="A627">
        <v>1626</v>
      </c>
      <c r="B627">
        <v>57</v>
      </c>
      <c r="C627" t="s">
        <v>31</v>
      </c>
      <c r="D627" t="s">
        <v>22</v>
      </c>
      <c r="E627" t="s">
        <v>12</v>
      </c>
      <c r="F627" t="s">
        <v>29</v>
      </c>
      <c r="G627">
        <v>71461</v>
      </c>
      <c r="H627">
        <v>14</v>
      </c>
      <c r="I627">
        <v>59</v>
      </c>
      <c r="J627">
        <v>5</v>
      </c>
      <c r="K627">
        <v>7</v>
      </c>
      <c r="L627" s="1">
        <v>42565</v>
      </c>
      <c r="M627" s="1">
        <v>43881</v>
      </c>
    </row>
    <row r="628" spans="1:13" x14ac:dyDescent="0.25">
      <c r="A628">
        <v>1627</v>
      </c>
      <c r="B628">
        <v>49</v>
      </c>
      <c r="C628" t="s">
        <v>32</v>
      </c>
      <c r="D628" t="s">
        <v>23</v>
      </c>
      <c r="E628" t="s">
        <v>12</v>
      </c>
      <c r="F628" t="s">
        <v>24</v>
      </c>
      <c r="G628">
        <v>96764</v>
      </c>
      <c r="H628">
        <v>7</v>
      </c>
      <c r="I628">
        <v>41</v>
      </c>
      <c r="J628">
        <v>5</v>
      </c>
      <c r="K628">
        <v>1</v>
      </c>
      <c r="L628" s="1">
        <v>44754</v>
      </c>
      <c r="M628" s="1" t="s">
        <v>9</v>
      </c>
    </row>
    <row r="629" spans="1:13" x14ac:dyDescent="0.25">
      <c r="A629">
        <v>1628</v>
      </c>
      <c r="B629">
        <v>48</v>
      </c>
      <c r="C629" t="s">
        <v>32</v>
      </c>
      <c r="D629" t="s">
        <v>19</v>
      </c>
      <c r="E629" t="s">
        <v>20</v>
      </c>
      <c r="F629" t="s">
        <v>44</v>
      </c>
      <c r="G629">
        <v>51665</v>
      </c>
      <c r="H629">
        <v>18</v>
      </c>
      <c r="I629">
        <v>12</v>
      </c>
      <c r="J629">
        <v>3</v>
      </c>
      <c r="K629">
        <v>2</v>
      </c>
      <c r="L629" s="1">
        <v>45457</v>
      </c>
      <c r="M629" s="1" t="s">
        <v>9</v>
      </c>
    </row>
    <row r="630" spans="1:13" x14ac:dyDescent="0.25">
      <c r="A630">
        <v>1629</v>
      </c>
      <c r="B630">
        <v>55</v>
      </c>
      <c r="C630" t="s">
        <v>37</v>
      </c>
      <c r="D630" t="s">
        <v>23</v>
      </c>
      <c r="E630" t="s">
        <v>28</v>
      </c>
      <c r="F630" t="s">
        <v>26</v>
      </c>
      <c r="G630">
        <v>66164</v>
      </c>
      <c r="H630">
        <v>23</v>
      </c>
      <c r="I630">
        <v>29</v>
      </c>
      <c r="J630">
        <v>4</v>
      </c>
      <c r="K630">
        <v>6</v>
      </c>
      <c r="L630" s="1">
        <v>43307</v>
      </c>
      <c r="M630" s="1" t="s">
        <v>9</v>
      </c>
    </row>
    <row r="631" spans="1:13" x14ac:dyDescent="0.25">
      <c r="A631">
        <v>1630</v>
      </c>
      <c r="B631">
        <v>56</v>
      </c>
      <c r="C631" t="s">
        <v>32</v>
      </c>
      <c r="D631" t="s">
        <v>19</v>
      </c>
      <c r="E631" t="s">
        <v>12</v>
      </c>
      <c r="F631" t="s">
        <v>40</v>
      </c>
      <c r="G631">
        <v>50430</v>
      </c>
      <c r="H631">
        <v>17</v>
      </c>
      <c r="I631">
        <v>51</v>
      </c>
      <c r="J631">
        <v>5</v>
      </c>
      <c r="K631">
        <v>8</v>
      </c>
      <c r="L631" s="1">
        <v>44538</v>
      </c>
      <c r="M631" s="1">
        <v>43081</v>
      </c>
    </row>
    <row r="632" spans="1:13" x14ac:dyDescent="0.25">
      <c r="A632">
        <v>1631</v>
      </c>
      <c r="B632">
        <v>60</v>
      </c>
      <c r="C632" t="s">
        <v>33</v>
      </c>
      <c r="D632" t="s">
        <v>23</v>
      </c>
      <c r="E632" t="s">
        <v>25</v>
      </c>
      <c r="F632" t="s">
        <v>18</v>
      </c>
      <c r="G632">
        <v>107714</v>
      </c>
      <c r="H632">
        <v>9</v>
      </c>
      <c r="I632">
        <v>54</v>
      </c>
      <c r="J632">
        <v>5</v>
      </c>
      <c r="K632">
        <v>9</v>
      </c>
      <c r="L632" s="1">
        <v>44419</v>
      </c>
      <c r="M632" s="1" t="s">
        <v>9</v>
      </c>
    </row>
    <row r="633" spans="1:13" x14ac:dyDescent="0.25">
      <c r="A633">
        <v>1632</v>
      </c>
      <c r="B633">
        <v>59</v>
      </c>
      <c r="C633" t="s">
        <v>31</v>
      </c>
      <c r="D633" t="s">
        <v>27</v>
      </c>
      <c r="E633" t="s">
        <v>34</v>
      </c>
      <c r="F633" t="s">
        <v>18</v>
      </c>
      <c r="G633">
        <v>57262</v>
      </c>
      <c r="H633">
        <v>4</v>
      </c>
      <c r="I633">
        <v>39</v>
      </c>
      <c r="J633">
        <v>3</v>
      </c>
      <c r="K633">
        <v>10</v>
      </c>
      <c r="L633" s="1">
        <v>42932</v>
      </c>
      <c r="M633" s="1" t="s">
        <v>9</v>
      </c>
    </row>
    <row r="634" spans="1:13" x14ac:dyDescent="0.25">
      <c r="A634">
        <v>1633</v>
      </c>
      <c r="B634">
        <v>57</v>
      </c>
      <c r="C634" t="s">
        <v>32</v>
      </c>
      <c r="D634" t="s">
        <v>22</v>
      </c>
      <c r="E634" t="s">
        <v>41</v>
      </c>
      <c r="F634" t="s">
        <v>24</v>
      </c>
      <c r="G634">
        <v>79846</v>
      </c>
      <c r="H634">
        <v>6</v>
      </c>
      <c r="I634">
        <v>39</v>
      </c>
      <c r="J634" t="s">
        <v>9</v>
      </c>
      <c r="K634">
        <v>3</v>
      </c>
      <c r="L634" s="1">
        <v>43483</v>
      </c>
      <c r="M634" s="1" t="s">
        <v>9</v>
      </c>
    </row>
    <row r="635" spans="1:13" x14ac:dyDescent="0.25">
      <c r="A635">
        <v>1634</v>
      </c>
      <c r="B635">
        <v>51</v>
      </c>
      <c r="C635" t="s">
        <v>31</v>
      </c>
      <c r="D635" t="s">
        <v>38</v>
      </c>
      <c r="E635" t="s">
        <v>28</v>
      </c>
      <c r="F635" t="s">
        <v>17</v>
      </c>
      <c r="G635">
        <v>92078</v>
      </c>
      <c r="H635">
        <v>5</v>
      </c>
      <c r="I635">
        <v>35</v>
      </c>
      <c r="J635">
        <v>2</v>
      </c>
      <c r="K635">
        <v>7</v>
      </c>
      <c r="L635" s="1">
        <v>43323</v>
      </c>
      <c r="M635" s="1" t="s">
        <v>9</v>
      </c>
    </row>
    <row r="636" spans="1:13" x14ac:dyDescent="0.25">
      <c r="A636">
        <v>1635</v>
      </c>
      <c r="B636">
        <v>45</v>
      </c>
      <c r="C636" t="s">
        <v>31</v>
      </c>
      <c r="D636" t="s">
        <v>38</v>
      </c>
      <c r="E636" t="s">
        <v>20</v>
      </c>
      <c r="F636" t="s">
        <v>26</v>
      </c>
      <c r="G636">
        <v>63563</v>
      </c>
      <c r="H636">
        <v>9</v>
      </c>
      <c r="I636">
        <v>16</v>
      </c>
      <c r="J636">
        <v>2</v>
      </c>
      <c r="K636">
        <v>9</v>
      </c>
      <c r="L636" s="1">
        <v>45532</v>
      </c>
      <c r="M636" s="1">
        <v>43102</v>
      </c>
    </row>
    <row r="637" spans="1:13" x14ac:dyDescent="0.25">
      <c r="A637">
        <v>1636</v>
      </c>
      <c r="B637">
        <v>22</v>
      </c>
      <c r="C637" t="s">
        <v>31</v>
      </c>
      <c r="D637" t="s">
        <v>19</v>
      </c>
      <c r="E637" t="s">
        <v>20</v>
      </c>
      <c r="F637" t="s">
        <v>42</v>
      </c>
      <c r="G637">
        <v>74379</v>
      </c>
      <c r="H637">
        <v>9</v>
      </c>
      <c r="I637">
        <v>43</v>
      </c>
      <c r="J637" t="s">
        <v>9</v>
      </c>
      <c r="K637">
        <v>5</v>
      </c>
      <c r="L637" s="1">
        <v>43282</v>
      </c>
      <c r="M637" s="1" t="s">
        <v>9</v>
      </c>
    </row>
    <row r="638" spans="1:13" x14ac:dyDescent="0.25">
      <c r="A638">
        <v>1637</v>
      </c>
      <c r="B638">
        <v>57</v>
      </c>
      <c r="C638" t="s">
        <v>32</v>
      </c>
      <c r="D638" t="s">
        <v>27</v>
      </c>
      <c r="E638" t="s">
        <v>12</v>
      </c>
      <c r="F638" t="s">
        <v>21</v>
      </c>
      <c r="G638">
        <v>70866</v>
      </c>
      <c r="H638">
        <v>0</v>
      </c>
      <c r="I638">
        <v>0</v>
      </c>
      <c r="J638">
        <v>3</v>
      </c>
      <c r="K638">
        <v>5</v>
      </c>
      <c r="L638" s="1">
        <v>45206</v>
      </c>
      <c r="M638" s="1" t="s">
        <v>9</v>
      </c>
    </row>
    <row r="639" spans="1:13" x14ac:dyDescent="0.25">
      <c r="A639">
        <v>1638</v>
      </c>
      <c r="B639">
        <v>42</v>
      </c>
      <c r="C639" t="s">
        <v>32</v>
      </c>
      <c r="D639" t="s">
        <v>35</v>
      </c>
      <c r="E639" t="s">
        <v>20</v>
      </c>
      <c r="F639" t="s">
        <v>15</v>
      </c>
      <c r="G639">
        <v>107042</v>
      </c>
      <c r="H639">
        <v>27</v>
      </c>
      <c r="I639">
        <v>4</v>
      </c>
      <c r="J639">
        <v>4</v>
      </c>
      <c r="K639">
        <v>3</v>
      </c>
      <c r="L639" s="1">
        <v>44183</v>
      </c>
      <c r="M639" s="1">
        <v>43060</v>
      </c>
    </row>
    <row r="640" spans="1:13" x14ac:dyDescent="0.25">
      <c r="A640">
        <v>1639</v>
      </c>
      <c r="B640">
        <v>27</v>
      </c>
      <c r="C640" t="s">
        <v>32</v>
      </c>
      <c r="D640" t="s">
        <v>19</v>
      </c>
      <c r="E640" t="s">
        <v>39</v>
      </c>
      <c r="F640" t="s">
        <v>21</v>
      </c>
      <c r="G640">
        <v>105499</v>
      </c>
      <c r="H640">
        <v>26</v>
      </c>
      <c r="I640">
        <v>49</v>
      </c>
      <c r="J640" t="s">
        <v>9</v>
      </c>
      <c r="K640">
        <v>7</v>
      </c>
      <c r="L640" s="1">
        <v>43133</v>
      </c>
      <c r="M640" s="1" t="s">
        <v>9</v>
      </c>
    </row>
    <row r="641" spans="1:13" x14ac:dyDescent="0.25">
      <c r="A641">
        <v>1640</v>
      </c>
      <c r="B641">
        <v>48</v>
      </c>
      <c r="C641" t="s">
        <v>31</v>
      </c>
      <c r="D641" t="s">
        <v>16</v>
      </c>
      <c r="E641" t="s">
        <v>25</v>
      </c>
      <c r="F641" t="s">
        <v>15</v>
      </c>
      <c r="G641">
        <v>78053</v>
      </c>
      <c r="H641">
        <v>12</v>
      </c>
      <c r="I641">
        <v>59</v>
      </c>
      <c r="J641">
        <v>5</v>
      </c>
      <c r="K641">
        <v>1</v>
      </c>
      <c r="L641" s="1">
        <v>42513</v>
      </c>
      <c r="M641" s="1">
        <v>43620</v>
      </c>
    </row>
    <row r="642" spans="1:13" x14ac:dyDescent="0.25">
      <c r="A642">
        <v>1641</v>
      </c>
      <c r="B642">
        <v>32</v>
      </c>
      <c r="C642" t="s">
        <v>31</v>
      </c>
      <c r="D642" t="s">
        <v>19</v>
      </c>
      <c r="E642" t="s">
        <v>12</v>
      </c>
      <c r="F642" t="s">
        <v>18</v>
      </c>
      <c r="G642">
        <v>100801</v>
      </c>
      <c r="H642">
        <v>6</v>
      </c>
      <c r="I642">
        <v>3</v>
      </c>
      <c r="J642">
        <v>4</v>
      </c>
      <c r="K642">
        <v>9</v>
      </c>
      <c r="L642" s="1">
        <v>45101</v>
      </c>
      <c r="M642" s="1" t="s">
        <v>9</v>
      </c>
    </row>
    <row r="643" spans="1:13" x14ac:dyDescent="0.25">
      <c r="A643">
        <v>1642</v>
      </c>
      <c r="B643">
        <v>47</v>
      </c>
      <c r="C643" t="s">
        <v>32</v>
      </c>
      <c r="D643" t="s">
        <v>19</v>
      </c>
      <c r="E643" t="s">
        <v>28</v>
      </c>
      <c r="F643" t="s">
        <v>18</v>
      </c>
      <c r="G643">
        <v>89899</v>
      </c>
      <c r="H643">
        <v>19</v>
      </c>
      <c r="I643">
        <v>15</v>
      </c>
      <c r="J643" t="s">
        <v>9</v>
      </c>
      <c r="K643">
        <v>8</v>
      </c>
      <c r="L643" s="1">
        <v>43700</v>
      </c>
      <c r="M643" s="1">
        <v>44695</v>
      </c>
    </row>
    <row r="644" spans="1:13" x14ac:dyDescent="0.25">
      <c r="A644">
        <v>1643</v>
      </c>
      <c r="B644">
        <v>33</v>
      </c>
      <c r="C644" t="s">
        <v>31</v>
      </c>
      <c r="D644" t="s">
        <v>22</v>
      </c>
      <c r="E644" t="s">
        <v>25</v>
      </c>
      <c r="F644" t="s">
        <v>18</v>
      </c>
      <c r="G644">
        <v>70831</v>
      </c>
      <c r="H644">
        <v>24</v>
      </c>
      <c r="I644">
        <v>35</v>
      </c>
      <c r="J644">
        <v>2</v>
      </c>
      <c r="K644">
        <v>3</v>
      </c>
      <c r="L644" s="1">
        <v>43270</v>
      </c>
      <c r="M644" s="1">
        <v>43760</v>
      </c>
    </row>
    <row r="645" spans="1:13" x14ac:dyDescent="0.25">
      <c r="A645">
        <v>1644</v>
      </c>
      <c r="B645">
        <v>47</v>
      </c>
      <c r="C645" t="s">
        <v>32</v>
      </c>
      <c r="D645" t="s">
        <v>36</v>
      </c>
      <c r="E645" t="s">
        <v>12</v>
      </c>
      <c r="F645" t="s">
        <v>21</v>
      </c>
      <c r="G645">
        <v>103915</v>
      </c>
      <c r="H645">
        <v>9</v>
      </c>
      <c r="I645">
        <v>1</v>
      </c>
      <c r="J645">
        <v>5</v>
      </c>
      <c r="K645">
        <v>1</v>
      </c>
      <c r="L645" s="1">
        <v>45166</v>
      </c>
      <c r="M645" s="1">
        <v>44381</v>
      </c>
    </row>
    <row r="646" spans="1:13" x14ac:dyDescent="0.25">
      <c r="A646">
        <v>1645</v>
      </c>
      <c r="B646">
        <v>56</v>
      </c>
      <c r="C646" t="s">
        <v>31</v>
      </c>
      <c r="D646" t="s">
        <v>13</v>
      </c>
      <c r="E646" t="s">
        <v>25</v>
      </c>
      <c r="F646" t="s">
        <v>24</v>
      </c>
      <c r="G646">
        <v>91136</v>
      </c>
      <c r="H646">
        <v>7</v>
      </c>
      <c r="I646">
        <v>46</v>
      </c>
      <c r="J646">
        <v>2</v>
      </c>
      <c r="K646">
        <v>3</v>
      </c>
      <c r="L646" s="1">
        <v>43485</v>
      </c>
      <c r="M646" s="1" t="s">
        <v>9</v>
      </c>
    </row>
    <row r="647" spans="1:13" x14ac:dyDescent="0.25">
      <c r="A647">
        <v>1646</v>
      </c>
      <c r="B647">
        <v>28</v>
      </c>
      <c r="C647" t="s">
        <v>31</v>
      </c>
      <c r="D647" t="s">
        <v>36</v>
      </c>
      <c r="E647" t="s">
        <v>25</v>
      </c>
      <c r="F647" t="s">
        <v>24</v>
      </c>
      <c r="G647">
        <v>68004</v>
      </c>
      <c r="H647">
        <v>1</v>
      </c>
      <c r="I647">
        <v>56</v>
      </c>
      <c r="J647">
        <v>2</v>
      </c>
      <c r="K647">
        <v>7</v>
      </c>
      <c r="L647" s="1">
        <v>45157</v>
      </c>
      <c r="M647" s="1" t="s">
        <v>9</v>
      </c>
    </row>
    <row r="648" spans="1:13" x14ac:dyDescent="0.25">
      <c r="A648">
        <v>1647</v>
      </c>
      <c r="B648">
        <v>50</v>
      </c>
      <c r="C648" t="s">
        <v>31</v>
      </c>
      <c r="D648" t="s">
        <v>16</v>
      </c>
      <c r="E648" t="s">
        <v>25</v>
      </c>
      <c r="F648" t="s">
        <v>21</v>
      </c>
      <c r="G648">
        <v>106752</v>
      </c>
      <c r="H648">
        <v>20</v>
      </c>
      <c r="I648">
        <v>44</v>
      </c>
      <c r="J648">
        <v>2</v>
      </c>
      <c r="K648">
        <v>7</v>
      </c>
      <c r="L648" s="1">
        <v>42351</v>
      </c>
      <c r="M648" s="1" t="s">
        <v>9</v>
      </c>
    </row>
    <row r="649" spans="1:13" x14ac:dyDescent="0.25">
      <c r="A649">
        <v>1648</v>
      </c>
      <c r="B649">
        <v>50</v>
      </c>
      <c r="C649" t="s">
        <v>31</v>
      </c>
      <c r="D649" t="s">
        <v>27</v>
      </c>
      <c r="E649" t="s">
        <v>28</v>
      </c>
      <c r="F649" t="s">
        <v>21</v>
      </c>
      <c r="G649">
        <v>94533</v>
      </c>
      <c r="H649">
        <v>5</v>
      </c>
      <c r="I649">
        <v>59</v>
      </c>
      <c r="J649">
        <v>2</v>
      </c>
      <c r="K649">
        <v>2</v>
      </c>
      <c r="L649" s="1">
        <v>44000</v>
      </c>
      <c r="M649" s="1" t="s">
        <v>9</v>
      </c>
    </row>
    <row r="650" spans="1:13" x14ac:dyDescent="0.25">
      <c r="A650">
        <v>1649</v>
      </c>
      <c r="B650">
        <v>54</v>
      </c>
      <c r="C650" t="s">
        <v>32</v>
      </c>
      <c r="D650" t="s">
        <v>13</v>
      </c>
      <c r="E650" t="s">
        <v>12</v>
      </c>
      <c r="F650" t="s">
        <v>21</v>
      </c>
      <c r="G650">
        <v>104348</v>
      </c>
      <c r="H650">
        <v>19</v>
      </c>
      <c r="I650">
        <v>56</v>
      </c>
      <c r="J650" t="s">
        <v>9</v>
      </c>
      <c r="K650">
        <v>1</v>
      </c>
      <c r="L650" s="1">
        <v>43789</v>
      </c>
      <c r="M650" s="1" t="s">
        <v>9</v>
      </c>
    </row>
    <row r="651" spans="1:13" x14ac:dyDescent="0.25">
      <c r="A651">
        <v>1650</v>
      </c>
      <c r="B651">
        <v>25</v>
      </c>
      <c r="C651" t="s">
        <v>32</v>
      </c>
      <c r="D651" t="s">
        <v>27</v>
      </c>
      <c r="E651" t="s">
        <v>28</v>
      </c>
      <c r="F651" t="s">
        <v>26</v>
      </c>
      <c r="G651">
        <v>81020</v>
      </c>
      <c r="H651">
        <v>16</v>
      </c>
      <c r="I651">
        <v>37</v>
      </c>
      <c r="J651">
        <v>5</v>
      </c>
      <c r="K651">
        <v>8</v>
      </c>
      <c r="L651" s="1">
        <v>43575</v>
      </c>
      <c r="M651" s="1">
        <v>45069</v>
      </c>
    </row>
    <row r="652" spans="1:13" x14ac:dyDescent="0.25">
      <c r="A652">
        <v>1651</v>
      </c>
      <c r="B652">
        <v>43</v>
      </c>
      <c r="C652" t="s">
        <v>31</v>
      </c>
      <c r="D652" t="s">
        <v>19</v>
      </c>
      <c r="E652" t="s">
        <v>14</v>
      </c>
      <c r="F652" t="s">
        <v>26</v>
      </c>
      <c r="G652">
        <v>45106</v>
      </c>
      <c r="H652">
        <v>17</v>
      </c>
      <c r="I652">
        <v>25</v>
      </c>
      <c r="J652">
        <v>3</v>
      </c>
      <c r="K652">
        <v>8</v>
      </c>
      <c r="L652" s="1">
        <v>43307</v>
      </c>
      <c r="M652" s="1" t="s">
        <v>9</v>
      </c>
    </row>
    <row r="653" spans="1:13" x14ac:dyDescent="0.25">
      <c r="A653">
        <v>1652</v>
      </c>
      <c r="B653">
        <v>45</v>
      </c>
      <c r="C653" t="s">
        <v>32</v>
      </c>
      <c r="D653" t="s">
        <v>23</v>
      </c>
      <c r="E653" t="s">
        <v>41</v>
      </c>
      <c r="F653" t="s">
        <v>26</v>
      </c>
      <c r="G653">
        <v>81156</v>
      </c>
      <c r="H653">
        <v>1</v>
      </c>
      <c r="I653">
        <v>11</v>
      </c>
      <c r="J653">
        <v>3</v>
      </c>
      <c r="K653">
        <v>10</v>
      </c>
      <c r="L653" s="1">
        <v>42192</v>
      </c>
      <c r="M653" s="1" t="s">
        <v>9</v>
      </c>
    </row>
    <row r="654" spans="1:13" x14ac:dyDescent="0.25">
      <c r="A654">
        <v>1653</v>
      </c>
      <c r="B654">
        <v>24</v>
      </c>
      <c r="C654" t="s">
        <v>31</v>
      </c>
      <c r="D654" t="s">
        <v>19</v>
      </c>
      <c r="E654" t="s">
        <v>41</v>
      </c>
      <c r="F654" t="s">
        <v>40</v>
      </c>
      <c r="G654">
        <v>93249</v>
      </c>
      <c r="H654">
        <v>12</v>
      </c>
      <c r="I654">
        <v>43</v>
      </c>
      <c r="J654">
        <v>3</v>
      </c>
      <c r="K654">
        <v>7</v>
      </c>
      <c r="L654" s="1">
        <v>42029</v>
      </c>
      <c r="M654" s="1" t="s">
        <v>9</v>
      </c>
    </row>
    <row r="655" spans="1:13" x14ac:dyDescent="0.25">
      <c r="A655">
        <v>1654</v>
      </c>
      <c r="B655">
        <v>59</v>
      </c>
      <c r="C655" t="s">
        <v>31</v>
      </c>
      <c r="D655" t="s">
        <v>13</v>
      </c>
      <c r="E655" t="s">
        <v>20</v>
      </c>
      <c r="F655" t="s">
        <v>21</v>
      </c>
      <c r="G655">
        <v>53869</v>
      </c>
      <c r="H655">
        <v>3</v>
      </c>
      <c r="I655">
        <v>2</v>
      </c>
      <c r="J655">
        <v>1</v>
      </c>
      <c r="K655">
        <v>4</v>
      </c>
      <c r="L655" s="1">
        <v>45147</v>
      </c>
      <c r="M655" s="1" t="s">
        <v>9</v>
      </c>
    </row>
    <row r="656" spans="1:13" x14ac:dyDescent="0.25">
      <c r="A656">
        <v>1655</v>
      </c>
      <c r="B656">
        <v>28</v>
      </c>
      <c r="C656" t="s">
        <v>32</v>
      </c>
      <c r="D656" t="s">
        <v>23</v>
      </c>
      <c r="E656" t="s">
        <v>12</v>
      </c>
      <c r="F656" t="s">
        <v>15</v>
      </c>
      <c r="G656">
        <v>94735</v>
      </c>
      <c r="H656">
        <v>23</v>
      </c>
      <c r="I656">
        <v>25</v>
      </c>
      <c r="J656">
        <v>1</v>
      </c>
      <c r="K656">
        <v>5</v>
      </c>
      <c r="L656" s="1">
        <v>42894</v>
      </c>
      <c r="M656" s="1" t="s">
        <v>9</v>
      </c>
    </row>
    <row r="657" spans="1:13" x14ac:dyDescent="0.25">
      <c r="A657">
        <v>1656</v>
      </c>
      <c r="B657">
        <v>50</v>
      </c>
      <c r="C657" t="s">
        <v>32</v>
      </c>
      <c r="D657" t="s">
        <v>35</v>
      </c>
      <c r="E657" t="s">
        <v>39</v>
      </c>
      <c r="F657" t="s">
        <v>29</v>
      </c>
      <c r="G657">
        <v>87633</v>
      </c>
      <c r="H657">
        <v>15</v>
      </c>
      <c r="I657">
        <v>56</v>
      </c>
      <c r="J657">
        <v>4</v>
      </c>
      <c r="K657">
        <v>4</v>
      </c>
      <c r="L657" s="1">
        <v>44689</v>
      </c>
      <c r="M657" s="1" t="s">
        <v>9</v>
      </c>
    </row>
    <row r="658" spans="1:13" x14ac:dyDescent="0.25">
      <c r="A658">
        <v>1657</v>
      </c>
      <c r="B658">
        <v>37</v>
      </c>
      <c r="C658" t="s">
        <v>31</v>
      </c>
      <c r="D658" t="s">
        <v>23</v>
      </c>
      <c r="E658" t="s">
        <v>12</v>
      </c>
      <c r="F658" t="s">
        <v>42</v>
      </c>
      <c r="G658">
        <v>76206</v>
      </c>
      <c r="H658">
        <v>13</v>
      </c>
      <c r="I658">
        <v>27</v>
      </c>
      <c r="J658">
        <v>2</v>
      </c>
      <c r="K658">
        <v>10</v>
      </c>
      <c r="L658" s="1">
        <v>44821</v>
      </c>
      <c r="M658" s="1">
        <v>44154</v>
      </c>
    </row>
    <row r="659" spans="1:13" x14ac:dyDescent="0.25">
      <c r="A659">
        <v>1658</v>
      </c>
      <c r="B659">
        <v>44</v>
      </c>
      <c r="C659" t="s">
        <v>33</v>
      </c>
      <c r="D659" t="s">
        <v>27</v>
      </c>
      <c r="E659" t="s">
        <v>12</v>
      </c>
      <c r="F659" t="s">
        <v>26</v>
      </c>
      <c r="G659">
        <v>66008</v>
      </c>
      <c r="H659">
        <v>24</v>
      </c>
      <c r="I659">
        <v>27</v>
      </c>
      <c r="J659">
        <v>5</v>
      </c>
      <c r="K659">
        <v>9</v>
      </c>
      <c r="L659" s="1">
        <v>45576</v>
      </c>
      <c r="M659" s="1">
        <v>44991</v>
      </c>
    </row>
    <row r="660" spans="1:13" x14ac:dyDescent="0.25">
      <c r="A660">
        <v>1659</v>
      </c>
      <c r="B660">
        <v>35</v>
      </c>
      <c r="C660" t="s">
        <v>37</v>
      </c>
      <c r="D660" t="s">
        <v>16</v>
      </c>
      <c r="E660" t="s">
        <v>34</v>
      </c>
      <c r="F660" t="s">
        <v>24</v>
      </c>
      <c r="G660">
        <v>82395</v>
      </c>
      <c r="H660">
        <v>30</v>
      </c>
      <c r="I660">
        <v>53</v>
      </c>
      <c r="J660">
        <v>5</v>
      </c>
      <c r="K660">
        <v>8</v>
      </c>
      <c r="L660" s="1">
        <v>44990</v>
      </c>
      <c r="M660" s="1">
        <v>45162</v>
      </c>
    </row>
    <row r="661" spans="1:13" x14ac:dyDescent="0.25">
      <c r="A661">
        <v>1660</v>
      </c>
      <c r="B661">
        <v>55</v>
      </c>
      <c r="C661" t="s">
        <v>33</v>
      </c>
      <c r="D661" t="s">
        <v>38</v>
      </c>
      <c r="E661" t="s">
        <v>28</v>
      </c>
      <c r="F661" t="s">
        <v>15</v>
      </c>
      <c r="G661">
        <v>51032</v>
      </c>
      <c r="H661">
        <v>30</v>
      </c>
      <c r="I661">
        <v>42</v>
      </c>
      <c r="J661">
        <v>2</v>
      </c>
      <c r="K661">
        <v>2</v>
      </c>
      <c r="L661" s="1">
        <v>44351</v>
      </c>
      <c r="M661" s="1" t="s">
        <v>9</v>
      </c>
    </row>
    <row r="662" spans="1:13" x14ac:dyDescent="0.25">
      <c r="A662">
        <v>1661</v>
      </c>
      <c r="B662">
        <v>58</v>
      </c>
      <c r="C662" t="s">
        <v>43</v>
      </c>
      <c r="D662" t="s">
        <v>19</v>
      </c>
      <c r="E662" t="s">
        <v>14</v>
      </c>
      <c r="F662" t="s">
        <v>26</v>
      </c>
      <c r="G662">
        <v>60661</v>
      </c>
      <c r="H662">
        <v>0</v>
      </c>
      <c r="I662">
        <v>36</v>
      </c>
      <c r="J662">
        <v>5</v>
      </c>
      <c r="K662">
        <v>5</v>
      </c>
      <c r="L662" s="1">
        <v>42281</v>
      </c>
      <c r="M662" s="1">
        <v>44992</v>
      </c>
    </row>
    <row r="663" spans="1:13" x14ac:dyDescent="0.25">
      <c r="A663">
        <v>1662</v>
      </c>
      <c r="B663">
        <v>23</v>
      </c>
      <c r="C663" t="s">
        <v>32</v>
      </c>
      <c r="D663" t="s">
        <v>16</v>
      </c>
      <c r="E663" t="s">
        <v>20</v>
      </c>
      <c r="F663" t="s">
        <v>21</v>
      </c>
      <c r="G663">
        <v>70679</v>
      </c>
      <c r="H663">
        <v>10</v>
      </c>
      <c r="I663">
        <v>49</v>
      </c>
      <c r="J663">
        <v>3</v>
      </c>
      <c r="K663">
        <v>10</v>
      </c>
      <c r="L663" s="1">
        <v>44005</v>
      </c>
      <c r="M663" s="1">
        <v>45552</v>
      </c>
    </row>
    <row r="664" spans="1:13" x14ac:dyDescent="0.25">
      <c r="A664">
        <v>1663</v>
      </c>
      <c r="B664">
        <v>41</v>
      </c>
      <c r="C664" t="s">
        <v>31</v>
      </c>
      <c r="D664" t="s">
        <v>27</v>
      </c>
      <c r="E664" t="s">
        <v>12</v>
      </c>
      <c r="F664" t="s">
        <v>26</v>
      </c>
      <c r="G664">
        <v>84660</v>
      </c>
      <c r="H664">
        <v>23</v>
      </c>
      <c r="I664">
        <v>37</v>
      </c>
      <c r="J664">
        <v>3</v>
      </c>
      <c r="K664">
        <v>7</v>
      </c>
      <c r="L664" s="1">
        <v>42941</v>
      </c>
      <c r="M664" s="1" t="s">
        <v>9</v>
      </c>
    </row>
    <row r="665" spans="1:13" x14ac:dyDescent="0.25">
      <c r="A665">
        <v>1664</v>
      </c>
      <c r="B665">
        <v>59</v>
      </c>
      <c r="C665" t="s">
        <v>32</v>
      </c>
      <c r="D665" t="s">
        <v>27</v>
      </c>
      <c r="E665" t="s">
        <v>14</v>
      </c>
      <c r="F665" t="s">
        <v>29</v>
      </c>
      <c r="G665">
        <v>94833</v>
      </c>
      <c r="H665">
        <v>4</v>
      </c>
      <c r="I665">
        <v>8</v>
      </c>
      <c r="J665">
        <v>5</v>
      </c>
      <c r="K665">
        <v>3</v>
      </c>
      <c r="L665" s="1">
        <v>44512</v>
      </c>
      <c r="M665" s="1" t="s">
        <v>9</v>
      </c>
    </row>
    <row r="666" spans="1:13" x14ac:dyDescent="0.25">
      <c r="A666">
        <v>1665</v>
      </c>
      <c r="B666">
        <v>60</v>
      </c>
      <c r="C666" t="s">
        <v>31</v>
      </c>
      <c r="D666" t="s">
        <v>27</v>
      </c>
      <c r="E666" t="s">
        <v>25</v>
      </c>
      <c r="F666" t="s">
        <v>15</v>
      </c>
      <c r="G666">
        <v>60917</v>
      </c>
      <c r="H666">
        <v>14</v>
      </c>
      <c r="I666">
        <v>51</v>
      </c>
      <c r="J666">
        <v>4</v>
      </c>
      <c r="K666">
        <v>1</v>
      </c>
      <c r="L666" s="1">
        <v>45135</v>
      </c>
      <c r="M666" s="1" t="s">
        <v>9</v>
      </c>
    </row>
    <row r="667" spans="1:13" x14ac:dyDescent="0.25">
      <c r="A667">
        <v>1666</v>
      </c>
      <c r="B667">
        <v>34</v>
      </c>
      <c r="C667" t="s">
        <v>32</v>
      </c>
      <c r="D667" t="s">
        <v>22</v>
      </c>
      <c r="E667" t="s">
        <v>34</v>
      </c>
      <c r="F667" t="s">
        <v>24</v>
      </c>
      <c r="G667">
        <v>101833</v>
      </c>
      <c r="H667">
        <v>3</v>
      </c>
      <c r="I667">
        <v>10</v>
      </c>
      <c r="J667">
        <v>4</v>
      </c>
      <c r="K667">
        <v>7</v>
      </c>
      <c r="L667" s="1">
        <v>45430</v>
      </c>
      <c r="M667" s="1" t="s">
        <v>9</v>
      </c>
    </row>
    <row r="668" spans="1:13" x14ac:dyDescent="0.25">
      <c r="A668">
        <v>1667</v>
      </c>
      <c r="B668">
        <v>26</v>
      </c>
      <c r="C668" t="s">
        <v>31</v>
      </c>
      <c r="D668" t="s">
        <v>35</v>
      </c>
      <c r="E668" t="s">
        <v>41</v>
      </c>
      <c r="F668" t="s">
        <v>24</v>
      </c>
      <c r="G668">
        <v>68545</v>
      </c>
      <c r="H668">
        <v>16</v>
      </c>
      <c r="I668">
        <v>40</v>
      </c>
      <c r="J668">
        <v>2</v>
      </c>
      <c r="K668">
        <v>5</v>
      </c>
      <c r="L668" s="1">
        <v>44440</v>
      </c>
      <c r="M668" s="1" t="s">
        <v>9</v>
      </c>
    </row>
    <row r="669" spans="1:13" x14ac:dyDescent="0.25">
      <c r="A669">
        <v>1668</v>
      </c>
      <c r="B669">
        <v>50</v>
      </c>
      <c r="C669" t="s">
        <v>37</v>
      </c>
      <c r="D669" t="s">
        <v>13</v>
      </c>
      <c r="E669" t="s">
        <v>12</v>
      </c>
      <c r="F669" t="s">
        <v>21</v>
      </c>
      <c r="G669">
        <v>79326</v>
      </c>
      <c r="H669">
        <v>11</v>
      </c>
      <c r="I669">
        <v>51</v>
      </c>
      <c r="J669">
        <v>3</v>
      </c>
      <c r="K669">
        <v>9</v>
      </c>
      <c r="L669" s="1">
        <v>43602</v>
      </c>
      <c r="M669" s="1">
        <v>44849</v>
      </c>
    </row>
    <row r="670" spans="1:13" x14ac:dyDescent="0.25">
      <c r="A670">
        <v>1669</v>
      </c>
      <c r="B670">
        <v>23</v>
      </c>
      <c r="C670" t="s">
        <v>31</v>
      </c>
      <c r="D670" t="s">
        <v>22</v>
      </c>
      <c r="E670" t="s">
        <v>12</v>
      </c>
      <c r="F670" t="s">
        <v>21</v>
      </c>
      <c r="G670">
        <v>50189</v>
      </c>
      <c r="H670">
        <v>15</v>
      </c>
      <c r="I670">
        <v>19</v>
      </c>
      <c r="J670">
        <v>2</v>
      </c>
      <c r="K670">
        <v>3</v>
      </c>
      <c r="L670" s="1">
        <v>44845</v>
      </c>
      <c r="M670" s="1">
        <v>43305</v>
      </c>
    </row>
    <row r="671" spans="1:13" x14ac:dyDescent="0.25">
      <c r="A671">
        <v>1670</v>
      </c>
      <c r="B671">
        <v>36</v>
      </c>
      <c r="C671" t="s">
        <v>43</v>
      </c>
      <c r="D671" t="s">
        <v>27</v>
      </c>
      <c r="E671" t="s">
        <v>20</v>
      </c>
      <c r="F671" t="s">
        <v>40</v>
      </c>
      <c r="G671">
        <v>49177</v>
      </c>
      <c r="H671">
        <v>23</v>
      </c>
      <c r="I671">
        <v>23</v>
      </c>
      <c r="J671" t="s">
        <v>9</v>
      </c>
      <c r="K671">
        <v>8</v>
      </c>
      <c r="L671" s="1">
        <v>43354</v>
      </c>
      <c r="M671" s="1" t="s">
        <v>9</v>
      </c>
    </row>
    <row r="672" spans="1:13" x14ac:dyDescent="0.25">
      <c r="A672">
        <v>1671</v>
      </c>
      <c r="B672">
        <v>31</v>
      </c>
      <c r="C672" t="s">
        <v>31</v>
      </c>
      <c r="D672" t="s">
        <v>22</v>
      </c>
      <c r="E672" t="s">
        <v>41</v>
      </c>
      <c r="F672" t="s">
        <v>24</v>
      </c>
      <c r="G672">
        <v>107148</v>
      </c>
      <c r="H672">
        <v>5</v>
      </c>
      <c r="I672">
        <v>59</v>
      </c>
      <c r="J672">
        <v>3</v>
      </c>
      <c r="K672">
        <v>9</v>
      </c>
      <c r="L672" s="1">
        <v>43438</v>
      </c>
      <c r="M672" s="1">
        <v>45058</v>
      </c>
    </row>
    <row r="673" spans="1:13" x14ac:dyDescent="0.25">
      <c r="A673">
        <v>1672</v>
      </c>
      <c r="B673">
        <v>38</v>
      </c>
      <c r="C673" t="s">
        <v>31</v>
      </c>
      <c r="D673" t="s">
        <v>38</v>
      </c>
      <c r="E673" t="s">
        <v>20</v>
      </c>
      <c r="F673" t="s">
        <v>18</v>
      </c>
      <c r="G673">
        <v>57095</v>
      </c>
      <c r="H673">
        <v>30</v>
      </c>
      <c r="I673">
        <v>13</v>
      </c>
      <c r="J673" t="s">
        <v>9</v>
      </c>
      <c r="K673">
        <v>6</v>
      </c>
      <c r="L673" s="1">
        <v>44326</v>
      </c>
      <c r="M673" s="1">
        <v>44127</v>
      </c>
    </row>
    <row r="674" spans="1:13" x14ac:dyDescent="0.25">
      <c r="A674">
        <v>1673</v>
      </c>
      <c r="B674">
        <v>39</v>
      </c>
      <c r="C674" t="s">
        <v>32</v>
      </c>
      <c r="D674" t="s">
        <v>19</v>
      </c>
      <c r="E674" t="s">
        <v>20</v>
      </c>
      <c r="F674" t="s">
        <v>21</v>
      </c>
      <c r="G674">
        <v>49256</v>
      </c>
      <c r="H674">
        <v>23</v>
      </c>
      <c r="I674">
        <v>30</v>
      </c>
      <c r="J674">
        <v>1</v>
      </c>
      <c r="K674">
        <v>3</v>
      </c>
      <c r="L674" s="1">
        <v>43715</v>
      </c>
      <c r="M674" s="1" t="s">
        <v>9</v>
      </c>
    </row>
    <row r="675" spans="1:13" x14ac:dyDescent="0.25">
      <c r="A675">
        <v>1674</v>
      </c>
      <c r="B675">
        <v>42</v>
      </c>
      <c r="C675" t="s">
        <v>31</v>
      </c>
      <c r="D675" t="s">
        <v>36</v>
      </c>
      <c r="E675" t="s">
        <v>28</v>
      </c>
      <c r="F675" t="s">
        <v>29</v>
      </c>
      <c r="G675">
        <v>60989</v>
      </c>
      <c r="H675">
        <v>26</v>
      </c>
      <c r="I675">
        <v>44</v>
      </c>
      <c r="J675">
        <v>3</v>
      </c>
      <c r="K675">
        <v>5</v>
      </c>
      <c r="L675" s="1">
        <v>44970</v>
      </c>
      <c r="M675" s="1" t="s">
        <v>9</v>
      </c>
    </row>
    <row r="676" spans="1:13" x14ac:dyDescent="0.25">
      <c r="A676">
        <v>1675</v>
      </c>
      <c r="B676">
        <v>29</v>
      </c>
      <c r="C676" t="s">
        <v>32</v>
      </c>
      <c r="D676" t="s">
        <v>16</v>
      </c>
      <c r="E676" t="s">
        <v>25</v>
      </c>
      <c r="F676" t="s">
        <v>15</v>
      </c>
      <c r="G676">
        <v>85744</v>
      </c>
      <c r="H676">
        <v>14</v>
      </c>
      <c r="I676">
        <v>13</v>
      </c>
      <c r="J676" t="s">
        <v>9</v>
      </c>
      <c r="K676">
        <v>8</v>
      </c>
      <c r="L676" s="1">
        <v>43290</v>
      </c>
      <c r="M676" s="1">
        <v>42555</v>
      </c>
    </row>
    <row r="677" spans="1:13" x14ac:dyDescent="0.25">
      <c r="A677">
        <v>1676</v>
      </c>
      <c r="B677">
        <v>24</v>
      </c>
      <c r="C677" t="s">
        <v>43</v>
      </c>
      <c r="D677" t="s">
        <v>16</v>
      </c>
      <c r="E677" t="s">
        <v>28</v>
      </c>
      <c r="F677" t="s">
        <v>26</v>
      </c>
      <c r="G677">
        <v>93480</v>
      </c>
      <c r="H677">
        <v>1</v>
      </c>
      <c r="I677">
        <v>5</v>
      </c>
      <c r="J677">
        <v>2</v>
      </c>
      <c r="K677">
        <v>3</v>
      </c>
      <c r="L677" s="1">
        <v>42265</v>
      </c>
      <c r="M677" s="1">
        <v>43679</v>
      </c>
    </row>
    <row r="678" spans="1:13" x14ac:dyDescent="0.25">
      <c r="A678">
        <v>1677</v>
      </c>
      <c r="B678">
        <v>34</v>
      </c>
      <c r="C678" t="s">
        <v>31</v>
      </c>
      <c r="D678" t="s">
        <v>27</v>
      </c>
      <c r="E678" t="s">
        <v>25</v>
      </c>
      <c r="F678" t="s">
        <v>15</v>
      </c>
      <c r="G678">
        <v>89959</v>
      </c>
      <c r="H678">
        <v>27</v>
      </c>
      <c r="I678">
        <v>31</v>
      </c>
      <c r="J678">
        <v>4</v>
      </c>
      <c r="K678">
        <v>2</v>
      </c>
      <c r="L678" s="1">
        <v>45020</v>
      </c>
      <c r="M678" s="1">
        <v>43965</v>
      </c>
    </row>
    <row r="679" spans="1:13" x14ac:dyDescent="0.25">
      <c r="A679">
        <v>1678</v>
      </c>
      <c r="B679">
        <v>25</v>
      </c>
      <c r="C679" t="s">
        <v>32</v>
      </c>
      <c r="D679" t="s">
        <v>38</v>
      </c>
      <c r="E679" t="s">
        <v>39</v>
      </c>
      <c r="F679" t="s">
        <v>44</v>
      </c>
      <c r="G679">
        <v>67413</v>
      </c>
      <c r="H679">
        <v>4</v>
      </c>
      <c r="I679">
        <v>39</v>
      </c>
      <c r="J679">
        <v>2</v>
      </c>
      <c r="K679">
        <v>2</v>
      </c>
      <c r="L679" s="1">
        <v>44691</v>
      </c>
      <c r="M679" s="1">
        <v>44359</v>
      </c>
    </row>
    <row r="680" spans="1:13" x14ac:dyDescent="0.25">
      <c r="A680">
        <v>1679</v>
      </c>
      <c r="B680">
        <v>60</v>
      </c>
      <c r="C680" t="s">
        <v>32</v>
      </c>
      <c r="D680" t="s">
        <v>23</v>
      </c>
      <c r="E680" t="s">
        <v>25</v>
      </c>
      <c r="F680" t="s">
        <v>21</v>
      </c>
      <c r="G680">
        <v>101548</v>
      </c>
      <c r="H680">
        <v>18</v>
      </c>
      <c r="I680">
        <v>10</v>
      </c>
      <c r="J680">
        <v>3</v>
      </c>
      <c r="K680">
        <v>7</v>
      </c>
      <c r="L680" s="1">
        <v>42802</v>
      </c>
      <c r="M680" s="1" t="s">
        <v>9</v>
      </c>
    </row>
    <row r="681" spans="1:13" x14ac:dyDescent="0.25">
      <c r="A681">
        <v>1680</v>
      </c>
      <c r="B681">
        <v>24</v>
      </c>
      <c r="C681" t="s">
        <v>31</v>
      </c>
      <c r="D681" t="s">
        <v>22</v>
      </c>
      <c r="E681" t="s">
        <v>12</v>
      </c>
      <c r="F681" t="s">
        <v>17</v>
      </c>
      <c r="G681">
        <v>102623</v>
      </c>
      <c r="H681">
        <v>4</v>
      </c>
      <c r="I681">
        <v>33</v>
      </c>
      <c r="J681">
        <v>3</v>
      </c>
      <c r="K681">
        <v>6</v>
      </c>
      <c r="L681" s="1">
        <v>42906</v>
      </c>
      <c r="M681" s="1" t="s">
        <v>9</v>
      </c>
    </row>
    <row r="682" spans="1:13" x14ac:dyDescent="0.25">
      <c r="A682">
        <v>1681</v>
      </c>
      <c r="B682">
        <v>49</v>
      </c>
      <c r="C682" t="s">
        <v>37</v>
      </c>
      <c r="D682" t="s">
        <v>38</v>
      </c>
      <c r="E682" t="s">
        <v>12</v>
      </c>
      <c r="F682" t="s">
        <v>24</v>
      </c>
      <c r="G682">
        <v>90580</v>
      </c>
      <c r="H682">
        <v>7</v>
      </c>
      <c r="I682">
        <v>24</v>
      </c>
      <c r="J682">
        <v>3</v>
      </c>
      <c r="K682">
        <v>1</v>
      </c>
      <c r="L682" s="1">
        <v>44717</v>
      </c>
      <c r="M682" s="1">
        <v>43644</v>
      </c>
    </row>
    <row r="683" spans="1:13" x14ac:dyDescent="0.25">
      <c r="A683">
        <v>1682</v>
      </c>
      <c r="B683">
        <v>36</v>
      </c>
      <c r="C683" t="s">
        <v>31</v>
      </c>
      <c r="D683" t="s">
        <v>27</v>
      </c>
      <c r="E683" t="s">
        <v>14</v>
      </c>
      <c r="F683" t="s">
        <v>42</v>
      </c>
      <c r="G683">
        <v>83378</v>
      </c>
      <c r="H683">
        <v>1</v>
      </c>
      <c r="I683">
        <v>8</v>
      </c>
      <c r="J683">
        <v>4</v>
      </c>
      <c r="K683">
        <v>6</v>
      </c>
      <c r="L683" s="1">
        <v>42792</v>
      </c>
      <c r="M683" s="1" t="s">
        <v>9</v>
      </c>
    </row>
    <row r="684" spans="1:13" x14ac:dyDescent="0.25">
      <c r="A684">
        <v>1683</v>
      </c>
      <c r="B684">
        <v>47</v>
      </c>
      <c r="C684" t="s">
        <v>31</v>
      </c>
      <c r="D684" t="s">
        <v>23</v>
      </c>
      <c r="E684" t="s">
        <v>25</v>
      </c>
      <c r="F684" t="s">
        <v>15</v>
      </c>
      <c r="G684">
        <v>51372</v>
      </c>
      <c r="H684">
        <v>28</v>
      </c>
      <c r="I684">
        <v>30</v>
      </c>
      <c r="J684">
        <v>2</v>
      </c>
      <c r="K684">
        <v>5</v>
      </c>
      <c r="L684" s="1">
        <v>44259</v>
      </c>
      <c r="M684" s="1">
        <v>42892</v>
      </c>
    </row>
    <row r="685" spans="1:13" x14ac:dyDescent="0.25">
      <c r="A685">
        <v>1684</v>
      </c>
      <c r="B685">
        <v>46</v>
      </c>
      <c r="C685" t="s">
        <v>31</v>
      </c>
      <c r="D685" t="s">
        <v>23</v>
      </c>
      <c r="E685" t="s">
        <v>28</v>
      </c>
      <c r="F685" t="s">
        <v>24</v>
      </c>
      <c r="G685">
        <v>59090</v>
      </c>
      <c r="H685">
        <v>7</v>
      </c>
      <c r="I685">
        <v>53</v>
      </c>
      <c r="J685" t="s">
        <v>9</v>
      </c>
      <c r="K685">
        <v>3</v>
      </c>
      <c r="L685" s="1">
        <v>45372</v>
      </c>
      <c r="M685" s="1" t="s">
        <v>9</v>
      </c>
    </row>
    <row r="686" spans="1:13" x14ac:dyDescent="0.25">
      <c r="A686">
        <v>1685</v>
      </c>
      <c r="B686">
        <v>32</v>
      </c>
      <c r="C686" t="s">
        <v>43</v>
      </c>
      <c r="D686" t="s">
        <v>27</v>
      </c>
      <c r="E686" t="s">
        <v>25</v>
      </c>
      <c r="F686" t="s">
        <v>18</v>
      </c>
      <c r="G686">
        <v>76646</v>
      </c>
      <c r="H686">
        <v>30</v>
      </c>
      <c r="I686">
        <v>11</v>
      </c>
      <c r="J686" t="s">
        <v>9</v>
      </c>
      <c r="K686">
        <v>1</v>
      </c>
      <c r="L686" s="1">
        <v>44445</v>
      </c>
      <c r="M686" s="1" t="s">
        <v>9</v>
      </c>
    </row>
    <row r="687" spans="1:13" x14ac:dyDescent="0.25">
      <c r="A687">
        <v>1686</v>
      </c>
      <c r="B687">
        <v>57</v>
      </c>
      <c r="C687" t="s">
        <v>32</v>
      </c>
      <c r="D687" t="s">
        <v>23</v>
      </c>
      <c r="E687" t="s">
        <v>20</v>
      </c>
      <c r="F687" t="s">
        <v>17</v>
      </c>
      <c r="G687">
        <v>97848</v>
      </c>
      <c r="H687">
        <v>23</v>
      </c>
      <c r="I687">
        <v>41</v>
      </c>
      <c r="J687" t="s">
        <v>9</v>
      </c>
      <c r="K687">
        <v>4</v>
      </c>
      <c r="L687" s="1">
        <v>44180</v>
      </c>
      <c r="M687" s="1" t="s">
        <v>9</v>
      </c>
    </row>
    <row r="688" spans="1:13" x14ac:dyDescent="0.25">
      <c r="A688">
        <v>1687</v>
      </c>
      <c r="B688">
        <v>53</v>
      </c>
      <c r="C688" t="s">
        <v>43</v>
      </c>
      <c r="D688" t="s">
        <v>36</v>
      </c>
      <c r="E688" t="s">
        <v>28</v>
      </c>
      <c r="F688" t="s">
        <v>17</v>
      </c>
      <c r="G688">
        <v>86248</v>
      </c>
      <c r="H688">
        <v>10</v>
      </c>
      <c r="I688">
        <v>27</v>
      </c>
      <c r="J688">
        <v>2</v>
      </c>
      <c r="K688">
        <v>8</v>
      </c>
      <c r="L688" s="1">
        <v>43322</v>
      </c>
      <c r="M688" s="1" t="s">
        <v>9</v>
      </c>
    </row>
    <row r="689" spans="1:13" x14ac:dyDescent="0.25">
      <c r="A689">
        <v>1688</v>
      </c>
      <c r="B689">
        <v>37</v>
      </c>
      <c r="C689" t="s">
        <v>32</v>
      </c>
      <c r="D689" t="s">
        <v>23</v>
      </c>
      <c r="E689" t="s">
        <v>34</v>
      </c>
      <c r="F689" t="s">
        <v>21</v>
      </c>
      <c r="G689">
        <v>61715</v>
      </c>
      <c r="H689">
        <v>18</v>
      </c>
      <c r="I689">
        <v>14</v>
      </c>
      <c r="J689">
        <v>4</v>
      </c>
      <c r="K689">
        <v>9</v>
      </c>
      <c r="L689" s="1">
        <v>43025</v>
      </c>
      <c r="M689" s="1" t="s">
        <v>9</v>
      </c>
    </row>
    <row r="690" spans="1:13" x14ac:dyDescent="0.25">
      <c r="A690">
        <v>1689</v>
      </c>
      <c r="B690">
        <v>43</v>
      </c>
      <c r="C690" t="s">
        <v>31</v>
      </c>
      <c r="D690" t="s">
        <v>13</v>
      </c>
      <c r="E690" t="s">
        <v>14</v>
      </c>
      <c r="F690" t="s">
        <v>18</v>
      </c>
      <c r="G690">
        <v>86932</v>
      </c>
      <c r="H690">
        <v>6</v>
      </c>
      <c r="I690">
        <v>34</v>
      </c>
      <c r="J690" t="s">
        <v>9</v>
      </c>
      <c r="K690">
        <v>6</v>
      </c>
      <c r="L690" s="1">
        <v>45185</v>
      </c>
      <c r="M690" s="1" t="s">
        <v>9</v>
      </c>
    </row>
    <row r="691" spans="1:13" x14ac:dyDescent="0.25">
      <c r="A691">
        <v>1690</v>
      </c>
      <c r="B691">
        <v>31</v>
      </c>
      <c r="C691" t="s">
        <v>43</v>
      </c>
      <c r="D691" t="s">
        <v>19</v>
      </c>
      <c r="E691" t="s">
        <v>28</v>
      </c>
      <c r="F691" t="s">
        <v>29</v>
      </c>
      <c r="G691">
        <v>96687</v>
      </c>
      <c r="H691">
        <v>16</v>
      </c>
      <c r="I691">
        <v>59</v>
      </c>
      <c r="J691">
        <v>2</v>
      </c>
      <c r="K691">
        <v>10</v>
      </c>
      <c r="L691" s="1">
        <v>44229</v>
      </c>
      <c r="M691" s="1" t="s">
        <v>9</v>
      </c>
    </row>
    <row r="692" spans="1:13" x14ac:dyDescent="0.25">
      <c r="A692">
        <v>1691</v>
      </c>
      <c r="B692">
        <v>30</v>
      </c>
      <c r="C692" t="s">
        <v>31</v>
      </c>
      <c r="D692" t="s">
        <v>19</v>
      </c>
      <c r="E692" t="s">
        <v>14</v>
      </c>
      <c r="F692" t="s">
        <v>21</v>
      </c>
      <c r="G692">
        <v>48403</v>
      </c>
      <c r="H692">
        <v>19</v>
      </c>
      <c r="I692">
        <v>7</v>
      </c>
      <c r="J692">
        <v>2</v>
      </c>
      <c r="K692">
        <v>2</v>
      </c>
      <c r="L692" s="1">
        <v>42234</v>
      </c>
      <c r="M692" s="1">
        <v>44173</v>
      </c>
    </row>
    <row r="693" spans="1:13" x14ac:dyDescent="0.25">
      <c r="A693">
        <v>1692</v>
      </c>
      <c r="B693">
        <v>59</v>
      </c>
      <c r="C693" t="s">
        <v>37</v>
      </c>
      <c r="D693" t="s">
        <v>19</v>
      </c>
      <c r="E693" t="s">
        <v>12</v>
      </c>
      <c r="F693" t="s">
        <v>29</v>
      </c>
      <c r="G693">
        <v>105766</v>
      </c>
      <c r="H693">
        <v>9</v>
      </c>
      <c r="I693">
        <v>24</v>
      </c>
      <c r="J693">
        <v>2</v>
      </c>
      <c r="K693">
        <v>1</v>
      </c>
      <c r="L693" s="1">
        <v>43571</v>
      </c>
      <c r="M693" s="1">
        <v>44277</v>
      </c>
    </row>
    <row r="694" spans="1:13" x14ac:dyDescent="0.25">
      <c r="A694">
        <v>1693</v>
      </c>
      <c r="B694">
        <v>48</v>
      </c>
      <c r="C694" t="s">
        <v>31</v>
      </c>
      <c r="D694" t="s">
        <v>16</v>
      </c>
      <c r="E694" t="s">
        <v>25</v>
      </c>
      <c r="F694" t="s">
        <v>18</v>
      </c>
      <c r="G694">
        <v>47924</v>
      </c>
      <c r="H694">
        <v>30</v>
      </c>
      <c r="I694">
        <v>58</v>
      </c>
      <c r="J694">
        <v>4</v>
      </c>
      <c r="K694">
        <v>7</v>
      </c>
      <c r="L694" s="1">
        <v>42279</v>
      </c>
      <c r="M694" s="1" t="s">
        <v>9</v>
      </c>
    </row>
    <row r="695" spans="1:13" x14ac:dyDescent="0.25">
      <c r="A695">
        <v>1694</v>
      </c>
      <c r="B695">
        <v>33</v>
      </c>
      <c r="C695" t="s">
        <v>32</v>
      </c>
      <c r="D695" t="s">
        <v>19</v>
      </c>
      <c r="E695" t="s">
        <v>12</v>
      </c>
      <c r="F695" t="s">
        <v>29</v>
      </c>
      <c r="G695">
        <v>55897</v>
      </c>
      <c r="H695">
        <v>27</v>
      </c>
      <c r="I695">
        <v>20</v>
      </c>
      <c r="J695">
        <v>1</v>
      </c>
      <c r="K695">
        <v>10</v>
      </c>
      <c r="L695" s="1">
        <v>45282</v>
      </c>
      <c r="M695" s="1">
        <v>42495</v>
      </c>
    </row>
    <row r="696" spans="1:13" x14ac:dyDescent="0.25">
      <c r="A696">
        <v>1695</v>
      </c>
      <c r="B696">
        <v>57</v>
      </c>
      <c r="C696" t="s">
        <v>33</v>
      </c>
      <c r="D696" t="s">
        <v>27</v>
      </c>
      <c r="E696" t="s">
        <v>12</v>
      </c>
      <c r="F696" t="s">
        <v>21</v>
      </c>
      <c r="G696">
        <v>91199</v>
      </c>
      <c r="H696">
        <v>11</v>
      </c>
      <c r="I696">
        <v>5</v>
      </c>
      <c r="J696">
        <v>3</v>
      </c>
      <c r="K696">
        <v>7</v>
      </c>
      <c r="L696" s="1">
        <v>45111</v>
      </c>
      <c r="M696" s="1" t="s">
        <v>9</v>
      </c>
    </row>
    <row r="697" spans="1:13" x14ac:dyDescent="0.25">
      <c r="A697">
        <v>1696</v>
      </c>
      <c r="B697">
        <v>56</v>
      </c>
      <c r="C697" t="s">
        <v>33</v>
      </c>
      <c r="D697" t="s">
        <v>22</v>
      </c>
      <c r="E697" t="s">
        <v>14</v>
      </c>
      <c r="F697" t="s">
        <v>29</v>
      </c>
      <c r="G697">
        <v>107889</v>
      </c>
      <c r="H697">
        <v>24</v>
      </c>
      <c r="I697">
        <v>16</v>
      </c>
      <c r="J697">
        <v>1</v>
      </c>
      <c r="K697">
        <v>4</v>
      </c>
      <c r="L697" s="1">
        <v>43451</v>
      </c>
      <c r="M697" s="1">
        <v>44881</v>
      </c>
    </row>
    <row r="698" spans="1:13" x14ac:dyDescent="0.25">
      <c r="A698">
        <v>1697</v>
      </c>
      <c r="B698">
        <v>28</v>
      </c>
      <c r="C698" t="s">
        <v>33</v>
      </c>
      <c r="D698" t="s">
        <v>22</v>
      </c>
      <c r="E698" t="s">
        <v>34</v>
      </c>
      <c r="F698" t="s">
        <v>44</v>
      </c>
      <c r="G698">
        <v>61001</v>
      </c>
      <c r="H698">
        <v>15</v>
      </c>
      <c r="I698">
        <v>28</v>
      </c>
      <c r="J698">
        <v>5</v>
      </c>
      <c r="K698">
        <v>6</v>
      </c>
      <c r="L698" s="1">
        <v>44239</v>
      </c>
      <c r="M698" s="1" t="s">
        <v>9</v>
      </c>
    </row>
    <row r="699" spans="1:13" x14ac:dyDescent="0.25">
      <c r="A699">
        <v>1698</v>
      </c>
      <c r="B699">
        <v>58</v>
      </c>
      <c r="C699" t="s">
        <v>32</v>
      </c>
      <c r="D699" t="s">
        <v>36</v>
      </c>
      <c r="E699" t="s">
        <v>12</v>
      </c>
      <c r="F699" t="s">
        <v>15</v>
      </c>
      <c r="G699">
        <v>67751</v>
      </c>
      <c r="H699">
        <v>12</v>
      </c>
      <c r="I699">
        <v>1</v>
      </c>
      <c r="J699">
        <v>5</v>
      </c>
      <c r="K699">
        <v>8</v>
      </c>
      <c r="L699" s="1">
        <v>42752</v>
      </c>
      <c r="M699" s="1" t="s">
        <v>9</v>
      </c>
    </row>
    <row r="700" spans="1:13" x14ac:dyDescent="0.25">
      <c r="A700">
        <v>1699</v>
      </c>
      <c r="B700">
        <v>34</v>
      </c>
      <c r="C700" t="s">
        <v>32</v>
      </c>
      <c r="D700" t="s">
        <v>22</v>
      </c>
      <c r="E700" t="s">
        <v>12</v>
      </c>
      <c r="F700" t="s">
        <v>24</v>
      </c>
      <c r="G700">
        <v>65864</v>
      </c>
      <c r="H700">
        <v>28</v>
      </c>
      <c r="I700">
        <v>22</v>
      </c>
      <c r="J700">
        <v>2</v>
      </c>
      <c r="K700">
        <v>8</v>
      </c>
      <c r="L700" s="1">
        <v>45468</v>
      </c>
      <c r="M700" s="1">
        <v>45309</v>
      </c>
    </row>
    <row r="701" spans="1:13" x14ac:dyDescent="0.25">
      <c r="A701">
        <v>1700</v>
      </c>
      <c r="B701">
        <v>52</v>
      </c>
      <c r="C701" t="s">
        <v>31</v>
      </c>
      <c r="D701" t="s">
        <v>13</v>
      </c>
      <c r="E701" t="s">
        <v>14</v>
      </c>
      <c r="F701" t="s">
        <v>15</v>
      </c>
      <c r="G701">
        <v>59794</v>
      </c>
      <c r="H701">
        <v>23</v>
      </c>
      <c r="I701">
        <v>56</v>
      </c>
      <c r="J701" t="s">
        <v>9</v>
      </c>
      <c r="K701">
        <v>5</v>
      </c>
      <c r="L701" s="1">
        <v>45523</v>
      </c>
      <c r="M701" s="1">
        <v>42667</v>
      </c>
    </row>
    <row r="702" spans="1:13" x14ac:dyDescent="0.25">
      <c r="A702">
        <v>1701</v>
      </c>
      <c r="B702">
        <v>40</v>
      </c>
      <c r="C702" t="s">
        <v>31</v>
      </c>
      <c r="D702" t="s">
        <v>23</v>
      </c>
      <c r="E702" t="s">
        <v>28</v>
      </c>
      <c r="F702" t="s">
        <v>15</v>
      </c>
      <c r="G702">
        <v>69441</v>
      </c>
      <c r="H702">
        <v>8</v>
      </c>
      <c r="I702">
        <v>28</v>
      </c>
      <c r="J702">
        <v>3</v>
      </c>
      <c r="K702">
        <v>10</v>
      </c>
      <c r="L702" s="1">
        <v>44747</v>
      </c>
      <c r="M702" s="1" t="s">
        <v>9</v>
      </c>
    </row>
    <row r="703" spans="1:13" x14ac:dyDescent="0.25">
      <c r="A703">
        <v>1702</v>
      </c>
      <c r="B703">
        <v>50</v>
      </c>
      <c r="C703" t="s">
        <v>31</v>
      </c>
      <c r="D703" t="s">
        <v>19</v>
      </c>
      <c r="E703" t="s">
        <v>12</v>
      </c>
      <c r="F703" t="s">
        <v>29</v>
      </c>
      <c r="G703">
        <v>48257</v>
      </c>
      <c r="H703">
        <v>5</v>
      </c>
      <c r="I703">
        <v>53</v>
      </c>
      <c r="J703">
        <v>4</v>
      </c>
      <c r="K703">
        <v>5</v>
      </c>
      <c r="L703" s="1">
        <v>42435</v>
      </c>
      <c r="M703" s="1" t="s">
        <v>9</v>
      </c>
    </row>
    <row r="704" spans="1:13" x14ac:dyDescent="0.25">
      <c r="A704">
        <v>1703</v>
      </c>
      <c r="B704">
        <v>22</v>
      </c>
      <c r="C704" t="s">
        <v>33</v>
      </c>
      <c r="D704" t="s">
        <v>35</v>
      </c>
      <c r="E704" t="s">
        <v>20</v>
      </c>
      <c r="F704" t="s">
        <v>24</v>
      </c>
      <c r="G704">
        <v>79446</v>
      </c>
      <c r="H704">
        <v>10</v>
      </c>
      <c r="I704">
        <v>20</v>
      </c>
      <c r="J704">
        <v>5</v>
      </c>
      <c r="K704">
        <v>9</v>
      </c>
      <c r="L704" s="1">
        <v>42732</v>
      </c>
      <c r="M704" s="1" t="s">
        <v>9</v>
      </c>
    </row>
    <row r="705" spans="1:13" x14ac:dyDescent="0.25">
      <c r="A705">
        <v>1704</v>
      </c>
      <c r="B705">
        <v>23</v>
      </c>
      <c r="C705" t="s">
        <v>43</v>
      </c>
      <c r="D705" t="s">
        <v>35</v>
      </c>
      <c r="E705" t="s">
        <v>28</v>
      </c>
      <c r="F705" t="s">
        <v>21</v>
      </c>
      <c r="G705">
        <v>72395</v>
      </c>
      <c r="H705">
        <v>8</v>
      </c>
      <c r="I705">
        <v>28</v>
      </c>
      <c r="J705" t="s">
        <v>9</v>
      </c>
      <c r="K705">
        <v>4</v>
      </c>
      <c r="L705" s="1">
        <v>42107</v>
      </c>
      <c r="M705" s="1" t="s">
        <v>9</v>
      </c>
    </row>
    <row r="706" spans="1:13" x14ac:dyDescent="0.25">
      <c r="A706">
        <v>1705</v>
      </c>
      <c r="B706">
        <v>35</v>
      </c>
      <c r="C706" t="s">
        <v>31</v>
      </c>
      <c r="D706" t="s">
        <v>13</v>
      </c>
      <c r="E706" t="s">
        <v>39</v>
      </c>
      <c r="F706" t="s">
        <v>40</v>
      </c>
      <c r="G706">
        <v>72378</v>
      </c>
      <c r="H706">
        <v>5</v>
      </c>
      <c r="I706">
        <v>51</v>
      </c>
      <c r="J706">
        <v>4</v>
      </c>
      <c r="K706">
        <v>6</v>
      </c>
      <c r="L706" s="1">
        <v>42502</v>
      </c>
      <c r="M706" s="1" t="s">
        <v>9</v>
      </c>
    </row>
    <row r="707" spans="1:13" x14ac:dyDescent="0.25">
      <c r="A707">
        <v>1706</v>
      </c>
      <c r="B707">
        <v>36</v>
      </c>
      <c r="C707" t="s">
        <v>32</v>
      </c>
      <c r="D707" t="s">
        <v>19</v>
      </c>
      <c r="E707" t="s">
        <v>34</v>
      </c>
      <c r="F707" t="s">
        <v>15</v>
      </c>
      <c r="G707">
        <v>95479</v>
      </c>
      <c r="H707">
        <v>14</v>
      </c>
      <c r="I707">
        <v>34</v>
      </c>
      <c r="J707">
        <v>2</v>
      </c>
      <c r="K707">
        <v>10</v>
      </c>
      <c r="L707" s="1">
        <v>45063</v>
      </c>
      <c r="M707" s="1" t="s">
        <v>9</v>
      </c>
    </row>
    <row r="708" spans="1:13" x14ac:dyDescent="0.25">
      <c r="A708">
        <v>1707</v>
      </c>
      <c r="B708">
        <v>46</v>
      </c>
      <c r="C708" t="s">
        <v>32</v>
      </c>
      <c r="D708" t="s">
        <v>38</v>
      </c>
      <c r="E708" t="s">
        <v>25</v>
      </c>
      <c r="F708" t="s">
        <v>44</v>
      </c>
      <c r="G708">
        <v>79939</v>
      </c>
      <c r="H708">
        <v>6</v>
      </c>
      <c r="I708">
        <v>25</v>
      </c>
      <c r="J708">
        <v>1</v>
      </c>
      <c r="K708">
        <v>3</v>
      </c>
      <c r="L708" s="1">
        <v>44399</v>
      </c>
      <c r="M708" s="1" t="s">
        <v>9</v>
      </c>
    </row>
    <row r="709" spans="1:13" x14ac:dyDescent="0.25">
      <c r="A709">
        <v>1708</v>
      </c>
      <c r="B709">
        <v>43</v>
      </c>
      <c r="C709" t="s">
        <v>43</v>
      </c>
      <c r="D709" t="s">
        <v>22</v>
      </c>
      <c r="E709" t="s">
        <v>14</v>
      </c>
      <c r="F709" t="s">
        <v>24</v>
      </c>
      <c r="G709">
        <v>58942</v>
      </c>
      <c r="H709">
        <v>11</v>
      </c>
      <c r="I709">
        <v>31</v>
      </c>
      <c r="J709">
        <v>5</v>
      </c>
      <c r="K709">
        <v>8</v>
      </c>
      <c r="L709" s="1">
        <v>42466</v>
      </c>
      <c r="M709" s="1" t="s">
        <v>9</v>
      </c>
    </row>
    <row r="710" spans="1:13" x14ac:dyDescent="0.25">
      <c r="A710">
        <v>1709</v>
      </c>
      <c r="B710">
        <v>45</v>
      </c>
      <c r="C710" t="s">
        <v>31</v>
      </c>
      <c r="D710" t="s">
        <v>22</v>
      </c>
      <c r="E710" t="s">
        <v>41</v>
      </c>
      <c r="F710" t="s">
        <v>18</v>
      </c>
      <c r="G710">
        <v>81225</v>
      </c>
      <c r="H710">
        <v>16</v>
      </c>
      <c r="I710">
        <v>21</v>
      </c>
      <c r="J710">
        <v>1</v>
      </c>
      <c r="K710">
        <v>2</v>
      </c>
      <c r="L710" s="1">
        <v>44121</v>
      </c>
      <c r="M710" s="1" t="s">
        <v>9</v>
      </c>
    </row>
    <row r="711" spans="1:13" x14ac:dyDescent="0.25">
      <c r="A711">
        <v>1710</v>
      </c>
      <c r="B711">
        <v>40</v>
      </c>
      <c r="C711" t="s">
        <v>31</v>
      </c>
      <c r="D711" t="s">
        <v>19</v>
      </c>
      <c r="E711" t="s">
        <v>39</v>
      </c>
      <c r="F711" t="s">
        <v>26</v>
      </c>
      <c r="G711">
        <v>95191</v>
      </c>
      <c r="H711">
        <v>15</v>
      </c>
      <c r="I711">
        <v>2</v>
      </c>
      <c r="J711">
        <v>3</v>
      </c>
      <c r="K711">
        <v>5</v>
      </c>
      <c r="L711" s="1">
        <v>42750</v>
      </c>
      <c r="M711" s="1">
        <v>43569</v>
      </c>
    </row>
    <row r="712" spans="1:13" x14ac:dyDescent="0.25">
      <c r="A712">
        <v>1711</v>
      </c>
      <c r="B712">
        <v>46</v>
      </c>
      <c r="C712" t="s">
        <v>32</v>
      </c>
      <c r="D712" t="s">
        <v>27</v>
      </c>
      <c r="E712" t="s">
        <v>12</v>
      </c>
      <c r="F712" t="s">
        <v>24</v>
      </c>
      <c r="G712">
        <v>51934</v>
      </c>
      <c r="H712">
        <v>11</v>
      </c>
      <c r="I712">
        <v>25</v>
      </c>
      <c r="J712" t="s">
        <v>9</v>
      </c>
      <c r="K712">
        <v>3</v>
      </c>
      <c r="L712" s="1">
        <v>43953</v>
      </c>
      <c r="M712" s="1" t="s">
        <v>9</v>
      </c>
    </row>
    <row r="713" spans="1:13" x14ac:dyDescent="0.25">
      <c r="A713">
        <v>1712</v>
      </c>
      <c r="B713">
        <v>42</v>
      </c>
      <c r="C713" t="s">
        <v>31</v>
      </c>
      <c r="D713" t="s">
        <v>23</v>
      </c>
      <c r="E713" t="s">
        <v>39</v>
      </c>
      <c r="F713" t="s">
        <v>21</v>
      </c>
      <c r="G713">
        <v>89499</v>
      </c>
      <c r="H713">
        <v>24</v>
      </c>
      <c r="I713">
        <v>43</v>
      </c>
      <c r="J713">
        <v>5</v>
      </c>
      <c r="K713">
        <v>10</v>
      </c>
      <c r="L713" s="1">
        <v>45251</v>
      </c>
      <c r="M713" s="1" t="s">
        <v>9</v>
      </c>
    </row>
    <row r="714" spans="1:13" x14ac:dyDescent="0.25">
      <c r="A714">
        <v>1713</v>
      </c>
      <c r="B714">
        <v>46</v>
      </c>
      <c r="C714" t="s">
        <v>32</v>
      </c>
      <c r="D714" t="s">
        <v>38</v>
      </c>
      <c r="E714" t="s">
        <v>25</v>
      </c>
      <c r="F714" t="s">
        <v>21</v>
      </c>
      <c r="G714">
        <v>88087</v>
      </c>
      <c r="H714">
        <v>12</v>
      </c>
      <c r="I714">
        <v>2</v>
      </c>
      <c r="J714">
        <v>4</v>
      </c>
      <c r="K714">
        <v>9</v>
      </c>
      <c r="L714" s="1">
        <v>42168</v>
      </c>
      <c r="M714" s="1" t="s">
        <v>9</v>
      </c>
    </row>
    <row r="715" spans="1:13" x14ac:dyDescent="0.25">
      <c r="A715">
        <v>1714</v>
      </c>
      <c r="B715">
        <v>24</v>
      </c>
      <c r="C715" t="s">
        <v>43</v>
      </c>
      <c r="D715" t="s">
        <v>27</v>
      </c>
      <c r="E715" t="s">
        <v>20</v>
      </c>
      <c r="F715" t="s">
        <v>15</v>
      </c>
      <c r="G715">
        <v>56957</v>
      </c>
      <c r="H715">
        <v>28</v>
      </c>
      <c r="I715">
        <v>8</v>
      </c>
      <c r="J715">
        <v>2</v>
      </c>
      <c r="K715">
        <v>7</v>
      </c>
      <c r="L715" s="1">
        <v>44757</v>
      </c>
      <c r="M715" s="1" t="s">
        <v>9</v>
      </c>
    </row>
    <row r="716" spans="1:13" x14ac:dyDescent="0.25">
      <c r="A716">
        <v>1715</v>
      </c>
      <c r="B716">
        <v>31</v>
      </c>
      <c r="C716" t="s">
        <v>37</v>
      </c>
      <c r="D716" t="s">
        <v>13</v>
      </c>
      <c r="E716" t="s">
        <v>39</v>
      </c>
      <c r="F716" t="s">
        <v>26</v>
      </c>
      <c r="G716">
        <v>102079</v>
      </c>
      <c r="H716">
        <v>29</v>
      </c>
      <c r="I716">
        <v>36</v>
      </c>
      <c r="J716">
        <v>5</v>
      </c>
      <c r="K716">
        <v>1</v>
      </c>
      <c r="L716" s="1">
        <v>43886</v>
      </c>
      <c r="M716" s="1" t="s">
        <v>9</v>
      </c>
    </row>
    <row r="717" spans="1:13" x14ac:dyDescent="0.25">
      <c r="A717">
        <v>1716</v>
      </c>
      <c r="B717">
        <v>30</v>
      </c>
      <c r="C717" t="s">
        <v>32</v>
      </c>
      <c r="D717" t="s">
        <v>22</v>
      </c>
      <c r="E717" t="s">
        <v>20</v>
      </c>
      <c r="F717" t="s">
        <v>24</v>
      </c>
      <c r="G717">
        <v>68732</v>
      </c>
      <c r="H717">
        <v>5</v>
      </c>
      <c r="I717">
        <v>12</v>
      </c>
      <c r="J717">
        <v>2</v>
      </c>
      <c r="K717">
        <v>9</v>
      </c>
      <c r="L717" s="1">
        <v>45225</v>
      </c>
      <c r="M717" s="1">
        <v>43793</v>
      </c>
    </row>
    <row r="718" spans="1:13" x14ac:dyDescent="0.25">
      <c r="A718">
        <v>1717</v>
      </c>
      <c r="B718">
        <v>22</v>
      </c>
      <c r="C718" t="s">
        <v>31</v>
      </c>
      <c r="D718" t="s">
        <v>23</v>
      </c>
      <c r="E718" t="s">
        <v>28</v>
      </c>
      <c r="F718" t="s">
        <v>17</v>
      </c>
      <c r="G718">
        <v>45401</v>
      </c>
      <c r="H718">
        <v>7</v>
      </c>
      <c r="I718">
        <v>9</v>
      </c>
      <c r="J718" t="s">
        <v>9</v>
      </c>
      <c r="K718">
        <v>10</v>
      </c>
      <c r="L718" s="1">
        <v>44039</v>
      </c>
      <c r="M718" s="1" t="s">
        <v>9</v>
      </c>
    </row>
    <row r="719" spans="1:13" x14ac:dyDescent="0.25">
      <c r="A719">
        <v>1718</v>
      </c>
      <c r="B719">
        <v>40</v>
      </c>
      <c r="C719" t="s">
        <v>37</v>
      </c>
      <c r="D719" t="s">
        <v>38</v>
      </c>
      <c r="E719" t="s">
        <v>12</v>
      </c>
      <c r="F719" t="s">
        <v>21</v>
      </c>
      <c r="G719">
        <v>73301</v>
      </c>
      <c r="H719">
        <v>27</v>
      </c>
      <c r="I719">
        <v>56</v>
      </c>
      <c r="J719">
        <v>3</v>
      </c>
      <c r="K719">
        <v>1</v>
      </c>
      <c r="L719" s="1">
        <v>43340</v>
      </c>
      <c r="M719" s="1" t="s">
        <v>9</v>
      </c>
    </row>
    <row r="720" spans="1:13" x14ac:dyDescent="0.25">
      <c r="A720">
        <v>1719</v>
      </c>
      <c r="B720">
        <v>33</v>
      </c>
      <c r="C720" t="s">
        <v>31</v>
      </c>
      <c r="D720" t="s">
        <v>27</v>
      </c>
      <c r="E720" t="s">
        <v>14</v>
      </c>
      <c r="F720" t="s">
        <v>17</v>
      </c>
      <c r="G720">
        <v>61993</v>
      </c>
      <c r="H720">
        <v>1</v>
      </c>
      <c r="I720">
        <v>54</v>
      </c>
      <c r="J720">
        <v>2</v>
      </c>
      <c r="K720">
        <v>5</v>
      </c>
      <c r="L720" s="1">
        <v>44820</v>
      </c>
      <c r="M720" s="1" t="s">
        <v>9</v>
      </c>
    </row>
    <row r="721" spans="1:13" x14ac:dyDescent="0.25">
      <c r="A721">
        <v>1720</v>
      </c>
      <c r="B721">
        <v>23</v>
      </c>
      <c r="C721" t="s">
        <v>31</v>
      </c>
      <c r="D721" t="s">
        <v>23</v>
      </c>
      <c r="E721" t="s">
        <v>20</v>
      </c>
      <c r="F721" t="s">
        <v>29</v>
      </c>
      <c r="G721">
        <v>55763</v>
      </c>
      <c r="H721">
        <v>7</v>
      </c>
      <c r="I721">
        <v>41</v>
      </c>
      <c r="J721">
        <v>3</v>
      </c>
      <c r="K721">
        <v>8</v>
      </c>
      <c r="L721" s="1">
        <v>42189</v>
      </c>
      <c r="M721" s="1">
        <v>44190</v>
      </c>
    </row>
    <row r="722" spans="1:13" x14ac:dyDescent="0.25">
      <c r="A722">
        <v>1721</v>
      </c>
      <c r="B722">
        <v>34</v>
      </c>
      <c r="C722" t="s">
        <v>33</v>
      </c>
      <c r="D722" t="s">
        <v>13</v>
      </c>
      <c r="E722" t="s">
        <v>41</v>
      </c>
      <c r="F722" t="s">
        <v>18</v>
      </c>
      <c r="G722">
        <v>105659</v>
      </c>
      <c r="H722">
        <v>8</v>
      </c>
      <c r="I722">
        <v>4</v>
      </c>
      <c r="J722">
        <v>5</v>
      </c>
      <c r="K722">
        <v>3</v>
      </c>
      <c r="L722" s="1">
        <v>42470</v>
      </c>
      <c r="M722" s="1" t="s">
        <v>9</v>
      </c>
    </row>
    <row r="723" spans="1:13" x14ac:dyDescent="0.25">
      <c r="A723">
        <v>1722</v>
      </c>
      <c r="B723">
        <v>51</v>
      </c>
      <c r="C723" t="s">
        <v>32</v>
      </c>
      <c r="D723" t="s">
        <v>13</v>
      </c>
      <c r="E723" t="s">
        <v>14</v>
      </c>
      <c r="F723" t="s">
        <v>29</v>
      </c>
      <c r="G723">
        <v>47572</v>
      </c>
      <c r="H723">
        <v>9</v>
      </c>
      <c r="I723">
        <v>43</v>
      </c>
      <c r="J723">
        <v>1</v>
      </c>
      <c r="K723">
        <v>1</v>
      </c>
      <c r="L723" s="1">
        <v>45548</v>
      </c>
      <c r="M723" s="1" t="s">
        <v>9</v>
      </c>
    </row>
    <row r="724" spans="1:13" x14ac:dyDescent="0.25">
      <c r="A724">
        <v>1723</v>
      </c>
      <c r="B724">
        <v>53</v>
      </c>
      <c r="C724" t="s">
        <v>32</v>
      </c>
      <c r="D724" t="s">
        <v>22</v>
      </c>
      <c r="E724" t="s">
        <v>25</v>
      </c>
      <c r="F724" t="s">
        <v>29</v>
      </c>
      <c r="G724">
        <v>89764</v>
      </c>
      <c r="H724">
        <v>6</v>
      </c>
      <c r="I724">
        <v>4</v>
      </c>
      <c r="J724">
        <v>1</v>
      </c>
      <c r="K724">
        <v>6</v>
      </c>
      <c r="L724" s="1">
        <v>44199</v>
      </c>
      <c r="M724" s="1" t="s">
        <v>9</v>
      </c>
    </row>
    <row r="725" spans="1:13" x14ac:dyDescent="0.25">
      <c r="A725">
        <v>1724</v>
      </c>
      <c r="B725">
        <v>24</v>
      </c>
      <c r="C725" t="s">
        <v>31</v>
      </c>
      <c r="D725" t="s">
        <v>27</v>
      </c>
      <c r="E725" t="s">
        <v>14</v>
      </c>
      <c r="F725" t="s">
        <v>29</v>
      </c>
      <c r="G725">
        <v>59833</v>
      </c>
      <c r="H725">
        <v>15</v>
      </c>
      <c r="I725">
        <v>29</v>
      </c>
      <c r="J725">
        <v>1</v>
      </c>
      <c r="K725">
        <v>8</v>
      </c>
      <c r="L725" s="1">
        <v>45311</v>
      </c>
      <c r="M725" s="1" t="s">
        <v>9</v>
      </c>
    </row>
    <row r="726" spans="1:13" x14ac:dyDescent="0.25">
      <c r="A726">
        <v>1725</v>
      </c>
      <c r="B726">
        <v>45</v>
      </c>
      <c r="C726" t="s">
        <v>32</v>
      </c>
      <c r="D726" t="s">
        <v>16</v>
      </c>
      <c r="E726" t="s">
        <v>14</v>
      </c>
      <c r="F726" t="s">
        <v>24</v>
      </c>
      <c r="G726">
        <v>89209</v>
      </c>
      <c r="H726">
        <v>21</v>
      </c>
      <c r="I726">
        <v>11</v>
      </c>
      <c r="J726">
        <v>3</v>
      </c>
      <c r="K726">
        <v>3</v>
      </c>
      <c r="L726" s="1">
        <v>45104</v>
      </c>
      <c r="M726" s="1" t="s">
        <v>9</v>
      </c>
    </row>
    <row r="727" spans="1:13" x14ac:dyDescent="0.25">
      <c r="A727">
        <v>1726</v>
      </c>
      <c r="B727">
        <v>30</v>
      </c>
      <c r="C727" t="s">
        <v>31</v>
      </c>
      <c r="D727" t="s">
        <v>22</v>
      </c>
      <c r="E727" t="s">
        <v>25</v>
      </c>
      <c r="F727" t="s">
        <v>18</v>
      </c>
      <c r="G727">
        <v>73574</v>
      </c>
      <c r="H727">
        <v>6</v>
      </c>
      <c r="I727">
        <v>34</v>
      </c>
      <c r="J727">
        <v>3</v>
      </c>
      <c r="K727">
        <v>4</v>
      </c>
      <c r="L727" s="1">
        <v>42606</v>
      </c>
      <c r="M727" s="1" t="s">
        <v>9</v>
      </c>
    </row>
    <row r="728" spans="1:13" x14ac:dyDescent="0.25">
      <c r="A728">
        <v>1727</v>
      </c>
      <c r="B728">
        <v>33</v>
      </c>
      <c r="C728" t="s">
        <v>33</v>
      </c>
      <c r="D728" t="s">
        <v>16</v>
      </c>
      <c r="E728" t="s">
        <v>39</v>
      </c>
      <c r="F728" t="s">
        <v>18</v>
      </c>
      <c r="G728">
        <v>63122</v>
      </c>
      <c r="H728">
        <v>2</v>
      </c>
      <c r="I728">
        <v>46</v>
      </c>
      <c r="J728" t="s">
        <v>9</v>
      </c>
      <c r="K728">
        <v>3</v>
      </c>
      <c r="L728" s="1">
        <v>44335</v>
      </c>
      <c r="M728" s="1">
        <v>44467</v>
      </c>
    </row>
    <row r="729" spans="1:13" x14ac:dyDescent="0.25">
      <c r="A729">
        <v>1728</v>
      </c>
      <c r="B729">
        <v>49</v>
      </c>
      <c r="C729" t="s">
        <v>31</v>
      </c>
      <c r="D729" t="s">
        <v>23</v>
      </c>
      <c r="E729" t="s">
        <v>20</v>
      </c>
      <c r="F729" t="s">
        <v>40</v>
      </c>
      <c r="G729">
        <v>108622</v>
      </c>
      <c r="H729">
        <v>18</v>
      </c>
      <c r="I729">
        <v>50</v>
      </c>
      <c r="J729">
        <v>4</v>
      </c>
      <c r="K729">
        <v>6</v>
      </c>
      <c r="L729" s="1">
        <v>44892</v>
      </c>
      <c r="M729" s="1">
        <v>43253</v>
      </c>
    </row>
    <row r="730" spans="1:13" x14ac:dyDescent="0.25">
      <c r="A730">
        <v>1729</v>
      </c>
      <c r="B730">
        <v>55</v>
      </c>
      <c r="C730" t="s">
        <v>43</v>
      </c>
      <c r="D730" t="s">
        <v>23</v>
      </c>
      <c r="E730" t="s">
        <v>39</v>
      </c>
      <c r="F730" t="s">
        <v>24</v>
      </c>
      <c r="G730">
        <v>78070</v>
      </c>
      <c r="H730">
        <v>1</v>
      </c>
      <c r="I730">
        <v>37</v>
      </c>
      <c r="J730" t="s">
        <v>9</v>
      </c>
      <c r="K730">
        <v>8</v>
      </c>
      <c r="L730" s="1">
        <v>42935</v>
      </c>
      <c r="M730" s="1" t="s">
        <v>9</v>
      </c>
    </row>
    <row r="731" spans="1:13" x14ac:dyDescent="0.25">
      <c r="A731">
        <v>1730</v>
      </c>
      <c r="B731">
        <v>22</v>
      </c>
      <c r="C731" t="s">
        <v>31</v>
      </c>
      <c r="D731" t="s">
        <v>27</v>
      </c>
      <c r="E731" t="s">
        <v>28</v>
      </c>
      <c r="F731" t="s">
        <v>24</v>
      </c>
      <c r="G731">
        <v>70034</v>
      </c>
      <c r="H731">
        <v>25</v>
      </c>
      <c r="I731">
        <v>34</v>
      </c>
      <c r="J731">
        <v>3</v>
      </c>
      <c r="K731">
        <v>10</v>
      </c>
      <c r="L731" s="1">
        <v>44604</v>
      </c>
      <c r="M731" s="1">
        <v>42933</v>
      </c>
    </row>
    <row r="732" spans="1:13" x14ac:dyDescent="0.25">
      <c r="A732">
        <v>1731</v>
      </c>
      <c r="B732">
        <v>23</v>
      </c>
      <c r="C732" t="s">
        <v>31</v>
      </c>
      <c r="D732" t="s">
        <v>27</v>
      </c>
      <c r="E732" t="s">
        <v>14</v>
      </c>
      <c r="F732" t="s">
        <v>15</v>
      </c>
      <c r="G732">
        <v>102726</v>
      </c>
      <c r="H732">
        <v>29</v>
      </c>
      <c r="I732">
        <v>54</v>
      </c>
      <c r="J732">
        <v>2</v>
      </c>
      <c r="K732">
        <v>2</v>
      </c>
      <c r="L732" s="1">
        <v>42320</v>
      </c>
      <c r="M732" s="1" t="s">
        <v>9</v>
      </c>
    </row>
    <row r="733" spans="1:13" x14ac:dyDescent="0.25">
      <c r="A733">
        <v>1732</v>
      </c>
      <c r="B733">
        <v>53</v>
      </c>
      <c r="C733" t="s">
        <v>32</v>
      </c>
      <c r="D733" t="s">
        <v>36</v>
      </c>
      <c r="E733" t="s">
        <v>14</v>
      </c>
      <c r="F733" t="s">
        <v>17</v>
      </c>
      <c r="G733">
        <v>69996</v>
      </c>
      <c r="H733">
        <v>2</v>
      </c>
      <c r="I733">
        <v>14</v>
      </c>
      <c r="J733">
        <v>2</v>
      </c>
      <c r="K733">
        <v>7</v>
      </c>
      <c r="L733" s="1">
        <v>44632</v>
      </c>
      <c r="M733" s="1" t="s">
        <v>9</v>
      </c>
    </row>
    <row r="734" spans="1:13" x14ac:dyDescent="0.25">
      <c r="A734">
        <v>1733</v>
      </c>
      <c r="B734">
        <v>59</v>
      </c>
      <c r="C734" t="s">
        <v>31</v>
      </c>
      <c r="D734" t="s">
        <v>35</v>
      </c>
      <c r="E734" t="s">
        <v>39</v>
      </c>
      <c r="F734" t="s">
        <v>18</v>
      </c>
      <c r="G734">
        <v>83961</v>
      </c>
      <c r="H734">
        <v>9</v>
      </c>
      <c r="I734">
        <v>51</v>
      </c>
      <c r="J734">
        <v>3</v>
      </c>
      <c r="K734">
        <v>6</v>
      </c>
      <c r="L734" s="1">
        <v>43681</v>
      </c>
      <c r="M734" s="1" t="s">
        <v>9</v>
      </c>
    </row>
    <row r="735" spans="1:13" x14ac:dyDescent="0.25">
      <c r="A735">
        <v>1734</v>
      </c>
      <c r="B735">
        <v>52</v>
      </c>
      <c r="C735" t="s">
        <v>31</v>
      </c>
      <c r="D735" t="s">
        <v>22</v>
      </c>
      <c r="E735" t="s">
        <v>12</v>
      </c>
      <c r="F735" t="s">
        <v>15</v>
      </c>
      <c r="G735">
        <v>77510</v>
      </c>
      <c r="H735">
        <v>5</v>
      </c>
      <c r="I735">
        <v>14</v>
      </c>
      <c r="J735">
        <v>1</v>
      </c>
      <c r="K735">
        <v>10</v>
      </c>
      <c r="L735" s="1">
        <v>45161</v>
      </c>
      <c r="M735" s="1" t="s">
        <v>9</v>
      </c>
    </row>
    <row r="736" spans="1:13" x14ac:dyDescent="0.25">
      <c r="A736">
        <v>1735</v>
      </c>
      <c r="B736">
        <v>59</v>
      </c>
      <c r="C736" t="s">
        <v>31</v>
      </c>
      <c r="D736" t="s">
        <v>35</v>
      </c>
      <c r="E736" t="s">
        <v>20</v>
      </c>
      <c r="F736" t="s">
        <v>18</v>
      </c>
      <c r="G736">
        <v>98337</v>
      </c>
      <c r="H736">
        <v>11</v>
      </c>
      <c r="I736">
        <v>9</v>
      </c>
      <c r="J736">
        <v>3</v>
      </c>
      <c r="K736">
        <v>1</v>
      </c>
      <c r="L736" s="1">
        <v>42744</v>
      </c>
      <c r="M736" s="1" t="s">
        <v>9</v>
      </c>
    </row>
    <row r="737" spans="1:13" x14ac:dyDescent="0.25">
      <c r="A737">
        <v>1736</v>
      </c>
      <c r="B737">
        <v>55</v>
      </c>
      <c r="C737" t="s">
        <v>32</v>
      </c>
      <c r="D737" t="s">
        <v>22</v>
      </c>
      <c r="E737" t="s">
        <v>25</v>
      </c>
      <c r="F737" t="s">
        <v>26</v>
      </c>
      <c r="G737">
        <v>83696</v>
      </c>
      <c r="H737">
        <v>3</v>
      </c>
      <c r="I737">
        <v>58</v>
      </c>
      <c r="J737">
        <v>3</v>
      </c>
      <c r="K737">
        <v>5</v>
      </c>
      <c r="L737" s="1">
        <v>45364</v>
      </c>
      <c r="M737" s="1" t="s">
        <v>9</v>
      </c>
    </row>
    <row r="738" spans="1:13" x14ac:dyDescent="0.25">
      <c r="A738">
        <v>1737</v>
      </c>
      <c r="B738">
        <v>57</v>
      </c>
      <c r="C738" t="s">
        <v>32</v>
      </c>
      <c r="D738" t="s">
        <v>23</v>
      </c>
      <c r="E738" t="s">
        <v>12</v>
      </c>
      <c r="F738" t="s">
        <v>29</v>
      </c>
      <c r="G738">
        <v>93438</v>
      </c>
      <c r="H738">
        <v>11</v>
      </c>
      <c r="I738">
        <v>59</v>
      </c>
      <c r="J738" t="s">
        <v>9</v>
      </c>
      <c r="K738">
        <v>2</v>
      </c>
      <c r="L738" s="1">
        <v>43315</v>
      </c>
      <c r="M738" s="1" t="s">
        <v>9</v>
      </c>
    </row>
    <row r="739" spans="1:13" x14ac:dyDescent="0.25">
      <c r="A739">
        <v>1738</v>
      </c>
      <c r="B739">
        <v>49</v>
      </c>
      <c r="C739" t="s">
        <v>31</v>
      </c>
      <c r="D739" t="s">
        <v>19</v>
      </c>
      <c r="E739" t="s">
        <v>25</v>
      </c>
      <c r="F739" t="s">
        <v>42</v>
      </c>
      <c r="G739">
        <v>46371</v>
      </c>
      <c r="H739">
        <v>23</v>
      </c>
      <c r="I739">
        <v>45</v>
      </c>
      <c r="J739">
        <v>4</v>
      </c>
      <c r="K739">
        <v>5</v>
      </c>
      <c r="L739" s="1">
        <v>42013</v>
      </c>
      <c r="M739" s="1">
        <v>43962</v>
      </c>
    </row>
    <row r="740" spans="1:13" x14ac:dyDescent="0.25">
      <c r="A740">
        <v>1739</v>
      </c>
      <c r="B740">
        <v>30</v>
      </c>
      <c r="C740" t="s">
        <v>32</v>
      </c>
      <c r="D740" t="s">
        <v>22</v>
      </c>
      <c r="E740" t="s">
        <v>14</v>
      </c>
      <c r="F740" t="s">
        <v>40</v>
      </c>
      <c r="G740">
        <v>87526</v>
      </c>
      <c r="H740">
        <v>23</v>
      </c>
      <c r="I740">
        <v>13</v>
      </c>
      <c r="J740" t="s">
        <v>9</v>
      </c>
      <c r="K740">
        <v>8</v>
      </c>
      <c r="L740" s="1">
        <v>43333</v>
      </c>
      <c r="M740" s="1" t="s">
        <v>9</v>
      </c>
    </row>
    <row r="741" spans="1:13" x14ac:dyDescent="0.25">
      <c r="A741">
        <v>1740</v>
      </c>
      <c r="B741">
        <v>26</v>
      </c>
      <c r="C741" t="s">
        <v>32</v>
      </c>
      <c r="D741" t="s">
        <v>13</v>
      </c>
      <c r="E741" t="s">
        <v>20</v>
      </c>
      <c r="F741" t="s">
        <v>40</v>
      </c>
      <c r="G741">
        <v>96147</v>
      </c>
      <c r="H741">
        <v>15</v>
      </c>
      <c r="I741">
        <v>43</v>
      </c>
      <c r="J741">
        <v>4</v>
      </c>
      <c r="K741">
        <v>5</v>
      </c>
      <c r="L741" s="1">
        <v>45517</v>
      </c>
      <c r="M741" s="1" t="s">
        <v>9</v>
      </c>
    </row>
    <row r="742" spans="1:13" x14ac:dyDescent="0.25">
      <c r="A742">
        <v>1741</v>
      </c>
      <c r="B742">
        <v>44</v>
      </c>
      <c r="C742" t="s">
        <v>32</v>
      </c>
      <c r="D742" t="s">
        <v>13</v>
      </c>
      <c r="E742" t="s">
        <v>34</v>
      </c>
      <c r="F742" t="s">
        <v>24</v>
      </c>
      <c r="G742">
        <v>93357</v>
      </c>
      <c r="H742">
        <v>1</v>
      </c>
      <c r="I742">
        <v>55</v>
      </c>
      <c r="J742" t="s">
        <v>9</v>
      </c>
      <c r="K742">
        <v>4</v>
      </c>
      <c r="L742" s="1">
        <v>44447</v>
      </c>
      <c r="M742" s="1" t="s">
        <v>9</v>
      </c>
    </row>
    <row r="743" spans="1:13" x14ac:dyDescent="0.25">
      <c r="A743">
        <v>1742</v>
      </c>
      <c r="B743">
        <v>48</v>
      </c>
      <c r="C743" t="s">
        <v>31</v>
      </c>
      <c r="D743" t="s">
        <v>23</v>
      </c>
      <c r="E743" t="s">
        <v>14</v>
      </c>
      <c r="F743" t="s">
        <v>44</v>
      </c>
      <c r="G743">
        <v>99875</v>
      </c>
      <c r="H743">
        <v>4</v>
      </c>
      <c r="I743">
        <v>0</v>
      </c>
      <c r="J743">
        <v>4</v>
      </c>
      <c r="K743">
        <v>10</v>
      </c>
      <c r="L743" s="1">
        <v>43842</v>
      </c>
      <c r="M743" s="1" t="s">
        <v>9</v>
      </c>
    </row>
    <row r="744" spans="1:13" x14ac:dyDescent="0.25">
      <c r="A744">
        <v>1743</v>
      </c>
      <c r="B744">
        <v>41</v>
      </c>
      <c r="C744" t="s">
        <v>31</v>
      </c>
      <c r="D744" t="s">
        <v>19</v>
      </c>
      <c r="E744" t="s">
        <v>14</v>
      </c>
      <c r="F744" t="s">
        <v>26</v>
      </c>
      <c r="G744">
        <v>59611</v>
      </c>
      <c r="H744">
        <v>14</v>
      </c>
      <c r="I744">
        <v>48</v>
      </c>
      <c r="J744">
        <v>1</v>
      </c>
      <c r="K744">
        <v>1</v>
      </c>
      <c r="L744" s="1">
        <v>43988</v>
      </c>
      <c r="M744" s="1">
        <v>45582</v>
      </c>
    </row>
    <row r="745" spans="1:13" x14ac:dyDescent="0.25">
      <c r="A745">
        <v>1744</v>
      </c>
      <c r="B745">
        <v>44</v>
      </c>
      <c r="C745" t="s">
        <v>32</v>
      </c>
      <c r="D745" t="s">
        <v>38</v>
      </c>
      <c r="E745" t="s">
        <v>20</v>
      </c>
      <c r="F745" t="s">
        <v>17</v>
      </c>
      <c r="G745">
        <v>72664</v>
      </c>
      <c r="H745">
        <v>4</v>
      </c>
      <c r="I745">
        <v>54</v>
      </c>
      <c r="J745">
        <v>2</v>
      </c>
      <c r="K745">
        <v>5</v>
      </c>
      <c r="L745" s="1">
        <v>44126</v>
      </c>
      <c r="M745" s="1" t="s">
        <v>9</v>
      </c>
    </row>
    <row r="746" spans="1:13" x14ac:dyDescent="0.25">
      <c r="A746">
        <v>1745</v>
      </c>
      <c r="B746">
        <v>53</v>
      </c>
      <c r="C746" t="s">
        <v>32</v>
      </c>
      <c r="D746" t="s">
        <v>23</v>
      </c>
      <c r="E746" t="s">
        <v>14</v>
      </c>
      <c r="F746" t="s">
        <v>18</v>
      </c>
      <c r="G746">
        <v>71539</v>
      </c>
      <c r="H746">
        <v>28</v>
      </c>
      <c r="I746">
        <v>59</v>
      </c>
      <c r="J746">
        <v>5</v>
      </c>
      <c r="K746">
        <v>9</v>
      </c>
      <c r="L746" s="1">
        <v>43406</v>
      </c>
      <c r="M746" s="1" t="s">
        <v>9</v>
      </c>
    </row>
    <row r="747" spans="1:13" x14ac:dyDescent="0.25">
      <c r="A747">
        <v>1746</v>
      </c>
      <c r="B747">
        <v>32</v>
      </c>
      <c r="C747" t="s">
        <v>31</v>
      </c>
      <c r="D747" t="s">
        <v>27</v>
      </c>
      <c r="E747" t="s">
        <v>39</v>
      </c>
      <c r="F747" t="s">
        <v>21</v>
      </c>
      <c r="G747">
        <v>56314</v>
      </c>
      <c r="H747">
        <v>12</v>
      </c>
      <c r="I747">
        <v>14</v>
      </c>
      <c r="J747" t="s">
        <v>9</v>
      </c>
      <c r="K747">
        <v>6</v>
      </c>
      <c r="L747" s="1">
        <v>43032</v>
      </c>
      <c r="M747" s="1" t="s">
        <v>9</v>
      </c>
    </row>
    <row r="748" spans="1:13" x14ac:dyDescent="0.25">
      <c r="A748">
        <v>1747</v>
      </c>
      <c r="B748">
        <v>24</v>
      </c>
      <c r="C748" t="s">
        <v>32</v>
      </c>
      <c r="D748" t="s">
        <v>22</v>
      </c>
      <c r="E748" t="s">
        <v>25</v>
      </c>
      <c r="F748" t="s">
        <v>29</v>
      </c>
      <c r="G748">
        <v>84798</v>
      </c>
      <c r="H748">
        <v>9</v>
      </c>
      <c r="I748">
        <v>10</v>
      </c>
      <c r="J748">
        <v>4</v>
      </c>
      <c r="K748">
        <v>10</v>
      </c>
      <c r="L748" s="1">
        <v>43692</v>
      </c>
      <c r="M748" s="1" t="s">
        <v>9</v>
      </c>
    </row>
    <row r="749" spans="1:13" x14ac:dyDescent="0.25">
      <c r="A749">
        <v>1748</v>
      </c>
      <c r="B749">
        <v>45</v>
      </c>
      <c r="C749" t="s">
        <v>32</v>
      </c>
      <c r="D749" t="s">
        <v>38</v>
      </c>
      <c r="E749" t="s">
        <v>34</v>
      </c>
      <c r="F749" t="s">
        <v>29</v>
      </c>
      <c r="G749">
        <v>53342</v>
      </c>
      <c r="H749">
        <v>4</v>
      </c>
      <c r="I749">
        <v>43</v>
      </c>
      <c r="J749">
        <v>4</v>
      </c>
      <c r="K749">
        <v>6</v>
      </c>
      <c r="L749" s="1">
        <v>42761</v>
      </c>
      <c r="M749" s="1">
        <v>43191</v>
      </c>
    </row>
    <row r="750" spans="1:13" x14ac:dyDescent="0.25">
      <c r="A750">
        <v>1749</v>
      </c>
      <c r="B750">
        <v>60</v>
      </c>
      <c r="C750" t="s">
        <v>31</v>
      </c>
      <c r="D750" t="s">
        <v>38</v>
      </c>
      <c r="E750" t="s">
        <v>20</v>
      </c>
      <c r="F750" t="s">
        <v>26</v>
      </c>
      <c r="G750">
        <v>71216</v>
      </c>
      <c r="H750">
        <v>14</v>
      </c>
      <c r="I750">
        <v>13</v>
      </c>
      <c r="J750">
        <v>4</v>
      </c>
      <c r="K750">
        <v>6</v>
      </c>
      <c r="L750" s="1">
        <v>43031</v>
      </c>
      <c r="M750" s="1" t="s">
        <v>9</v>
      </c>
    </row>
    <row r="751" spans="1:13" x14ac:dyDescent="0.25">
      <c r="A751">
        <v>1750</v>
      </c>
      <c r="B751">
        <v>23</v>
      </c>
      <c r="C751" t="s">
        <v>43</v>
      </c>
      <c r="D751" t="s">
        <v>22</v>
      </c>
      <c r="E751" t="s">
        <v>20</v>
      </c>
      <c r="F751" t="s">
        <v>17</v>
      </c>
      <c r="G751">
        <v>100540</v>
      </c>
      <c r="H751">
        <v>18</v>
      </c>
      <c r="I751">
        <v>0</v>
      </c>
      <c r="J751">
        <v>4</v>
      </c>
      <c r="K751">
        <v>2</v>
      </c>
      <c r="L751" s="1">
        <v>44344</v>
      </c>
      <c r="M751" s="1" t="s">
        <v>9</v>
      </c>
    </row>
    <row r="752" spans="1:13" x14ac:dyDescent="0.25">
      <c r="A752">
        <v>1751</v>
      </c>
      <c r="B752">
        <v>23</v>
      </c>
      <c r="C752" t="s">
        <v>32</v>
      </c>
      <c r="D752" t="s">
        <v>35</v>
      </c>
      <c r="E752" t="s">
        <v>20</v>
      </c>
      <c r="F752" t="s">
        <v>21</v>
      </c>
      <c r="G752">
        <v>74220</v>
      </c>
      <c r="H752">
        <v>21</v>
      </c>
      <c r="I752">
        <v>47</v>
      </c>
      <c r="J752">
        <v>5</v>
      </c>
      <c r="K752">
        <v>3</v>
      </c>
      <c r="L752" s="1">
        <v>44203</v>
      </c>
      <c r="M752" s="1">
        <v>43468</v>
      </c>
    </row>
    <row r="753" spans="1:13" x14ac:dyDescent="0.25">
      <c r="A753">
        <v>1752</v>
      </c>
      <c r="B753">
        <v>59</v>
      </c>
      <c r="C753" t="s">
        <v>31</v>
      </c>
      <c r="D753" t="s">
        <v>38</v>
      </c>
      <c r="E753" t="s">
        <v>12</v>
      </c>
      <c r="F753" t="s">
        <v>44</v>
      </c>
      <c r="G753">
        <v>58581</v>
      </c>
      <c r="H753">
        <v>19</v>
      </c>
      <c r="I753">
        <v>21</v>
      </c>
      <c r="J753">
        <v>5</v>
      </c>
      <c r="K753">
        <v>7</v>
      </c>
      <c r="L753" s="1">
        <v>44720</v>
      </c>
      <c r="M753" s="1" t="s">
        <v>9</v>
      </c>
    </row>
    <row r="754" spans="1:13" x14ac:dyDescent="0.25">
      <c r="A754">
        <v>1753</v>
      </c>
      <c r="B754">
        <v>48</v>
      </c>
      <c r="C754" t="s">
        <v>31</v>
      </c>
      <c r="D754" t="s">
        <v>36</v>
      </c>
      <c r="E754" t="s">
        <v>28</v>
      </c>
      <c r="F754" t="s">
        <v>15</v>
      </c>
      <c r="G754">
        <v>73585</v>
      </c>
      <c r="H754">
        <v>3</v>
      </c>
      <c r="I754">
        <v>49</v>
      </c>
      <c r="J754">
        <v>1</v>
      </c>
      <c r="K754">
        <v>5</v>
      </c>
      <c r="L754" s="1">
        <v>44163</v>
      </c>
      <c r="M754" s="1">
        <v>44534</v>
      </c>
    </row>
    <row r="755" spans="1:13" x14ac:dyDescent="0.25">
      <c r="A755">
        <v>1754</v>
      </c>
      <c r="B755">
        <v>38</v>
      </c>
      <c r="C755" t="s">
        <v>31</v>
      </c>
      <c r="D755" t="s">
        <v>27</v>
      </c>
      <c r="E755" t="s">
        <v>28</v>
      </c>
      <c r="F755" t="s">
        <v>44</v>
      </c>
      <c r="G755">
        <v>71359</v>
      </c>
      <c r="H755">
        <v>7</v>
      </c>
      <c r="I755">
        <v>19</v>
      </c>
      <c r="J755">
        <v>5</v>
      </c>
      <c r="K755">
        <v>9</v>
      </c>
      <c r="L755" s="1">
        <v>43246</v>
      </c>
      <c r="M755" s="1" t="s">
        <v>9</v>
      </c>
    </row>
    <row r="756" spans="1:13" x14ac:dyDescent="0.25">
      <c r="A756">
        <v>1755</v>
      </c>
      <c r="B756">
        <v>46</v>
      </c>
      <c r="C756" t="s">
        <v>32</v>
      </c>
      <c r="D756" t="s">
        <v>27</v>
      </c>
      <c r="E756" t="s">
        <v>25</v>
      </c>
      <c r="F756" t="s">
        <v>21</v>
      </c>
      <c r="G756">
        <v>82581</v>
      </c>
      <c r="H756">
        <v>17</v>
      </c>
      <c r="I756">
        <v>17</v>
      </c>
      <c r="J756">
        <v>5</v>
      </c>
      <c r="K756">
        <v>6</v>
      </c>
      <c r="L756" s="1">
        <v>45560</v>
      </c>
      <c r="M756" s="1" t="s">
        <v>9</v>
      </c>
    </row>
    <row r="757" spans="1:13" x14ac:dyDescent="0.25">
      <c r="A757">
        <v>1756</v>
      </c>
      <c r="B757">
        <v>27</v>
      </c>
      <c r="C757" t="s">
        <v>32</v>
      </c>
      <c r="D757" t="s">
        <v>19</v>
      </c>
      <c r="E757" t="s">
        <v>25</v>
      </c>
      <c r="F757" t="s">
        <v>26</v>
      </c>
      <c r="G757">
        <v>66421</v>
      </c>
      <c r="H757">
        <v>14</v>
      </c>
      <c r="I757">
        <v>20</v>
      </c>
      <c r="J757" t="s">
        <v>9</v>
      </c>
      <c r="K757">
        <v>1</v>
      </c>
      <c r="L757" s="1">
        <v>42110</v>
      </c>
      <c r="M757" s="1" t="s">
        <v>9</v>
      </c>
    </row>
    <row r="758" spans="1:13" x14ac:dyDescent="0.25">
      <c r="A758">
        <v>1757</v>
      </c>
      <c r="B758">
        <v>25</v>
      </c>
      <c r="C758" t="s">
        <v>31</v>
      </c>
      <c r="D758" t="s">
        <v>22</v>
      </c>
      <c r="E758" t="s">
        <v>25</v>
      </c>
      <c r="F758" t="s">
        <v>17</v>
      </c>
      <c r="G758">
        <v>92991</v>
      </c>
      <c r="H758">
        <v>7</v>
      </c>
      <c r="I758">
        <v>28</v>
      </c>
      <c r="J758">
        <v>2</v>
      </c>
      <c r="K758">
        <v>6</v>
      </c>
      <c r="L758" s="1">
        <v>43625</v>
      </c>
      <c r="M758" s="1" t="s">
        <v>9</v>
      </c>
    </row>
    <row r="759" spans="1:13" x14ac:dyDescent="0.25">
      <c r="A759">
        <v>1758</v>
      </c>
      <c r="B759">
        <v>43</v>
      </c>
      <c r="C759" t="s">
        <v>32</v>
      </c>
      <c r="D759" t="s">
        <v>27</v>
      </c>
      <c r="E759" t="s">
        <v>12</v>
      </c>
      <c r="F759" t="s">
        <v>42</v>
      </c>
      <c r="G759">
        <v>52368</v>
      </c>
      <c r="H759">
        <v>0</v>
      </c>
      <c r="I759">
        <v>10</v>
      </c>
      <c r="J759">
        <v>3</v>
      </c>
      <c r="K759">
        <v>1</v>
      </c>
      <c r="L759" s="1">
        <v>43900</v>
      </c>
      <c r="M759" s="1" t="s">
        <v>9</v>
      </c>
    </row>
    <row r="760" spans="1:13" x14ac:dyDescent="0.25">
      <c r="A760">
        <v>1759</v>
      </c>
      <c r="B760">
        <v>32</v>
      </c>
      <c r="C760" t="s">
        <v>31</v>
      </c>
      <c r="D760" t="s">
        <v>13</v>
      </c>
      <c r="E760" t="s">
        <v>28</v>
      </c>
      <c r="F760" t="s">
        <v>29</v>
      </c>
      <c r="G760">
        <v>74139</v>
      </c>
      <c r="H760">
        <v>15</v>
      </c>
      <c r="I760">
        <v>32</v>
      </c>
      <c r="J760">
        <v>4</v>
      </c>
      <c r="K760">
        <v>3</v>
      </c>
      <c r="L760" s="1">
        <v>42684</v>
      </c>
      <c r="M760" s="1" t="s">
        <v>9</v>
      </c>
    </row>
    <row r="761" spans="1:13" x14ac:dyDescent="0.25">
      <c r="A761">
        <v>1760</v>
      </c>
      <c r="B761">
        <v>27</v>
      </c>
      <c r="C761" t="s">
        <v>33</v>
      </c>
      <c r="D761" t="s">
        <v>27</v>
      </c>
      <c r="E761" t="s">
        <v>28</v>
      </c>
      <c r="F761" t="s">
        <v>21</v>
      </c>
      <c r="G761">
        <v>109551</v>
      </c>
      <c r="H761">
        <v>19</v>
      </c>
      <c r="I761">
        <v>12</v>
      </c>
      <c r="J761" t="s">
        <v>9</v>
      </c>
      <c r="K761">
        <v>8</v>
      </c>
      <c r="L761" s="1">
        <v>45115</v>
      </c>
      <c r="M761" s="1" t="s">
        <v>9</v>
      </c>
    </row>
    <row r="762" spans="1:13" x14ac:dyDescent="0.25">
      <c r="A762">
        <v>1761</v>
      </c>
      <c r="B762">
        <v>36</v>
      </c>
      <c r="C762" t="s">
        <v>32</v>
      </c>
      <c r="D762" t="s">
        <v>19</v>
      </c>
      <c r="E762" t="s">
        <v>20</v>
      </c>
      <c r="F762" t="s">
        <v>40</v>
      </c>
      <c r="G762">
        <v>58144</v>
      </c>
      <c r="H762">
        <v>16</v>
      </c>
      <c r="I762">
        <v>59</v>
      </c>
      <c r="J762">
        <v>3</v>
      </c>
      <c r="K762">
        <v>1</v>
      </c>
      <c r="L762" s="1">
        <v>44353</v>
      </c>
      <c r="M762" s="1">
        <v>42944</v>
      </c>
    </row>
    <row r="763" spans="1:13" x14ac:dyDescent="0.25">
      <c r="A763">
        <v>1762</v>
      </c>
      <c r="B763">
        <v>43</v>
      </c>
      <c r="C763" t="s">
        <v>32</v>
      </c>
      <c r="D763" t="s">
        <v>16</v>
      </c>
      <c r="E763" t="s">
        <v>12</v>
      </c>
      <c r="F763" t="s">
        <v>24</v>
      </c>
      <c r="G763">
        <v>83390</v>
      </c>
      <c r="H763">
        <v>9</v>
      </c>
      <c r="I763">
        <v>12</v>
      </c>
      <c r="J763" t="s">
        <v>9</v>
      </c>
      <c r="K763">
        <v>2</v>
      </c>
      <c r="L763" s="1">
        <v>43384</v>
      </c>
      <c r="M763" s="1" t="s">
        <v>9</v>
      </c>
    </row>
    <row r="764" spans="1:13" x14ac:dyDescent="0.25">
      <c r="A764">
        <v>1763</v>
      </c>
      <c r="B764">
        <v>23</v>
      </c>
      <c r="C764" t="s">
        <v>31</v>
      </c>
      <c r="D764" t="s">
        <v>38</v>
      </c>
      <c r="E764" t="s">
        <v>25</v>
      </c>
      <c r="F764" t="s">
        <v>18</v>
      </c>
      <c r="G764">
        <v>47462</v>
      </c>
      <c r="H764">
        <v>17</v>
      </c>
      <c r="I764">
        <v>25</v>
      </c>
      <c r="J764" t="s">
        <v>9</v>
      </c>
      <c r="K764">
        <v>7</v>
      </c>
      <c r="L764" s="1">
        <v>43762</v>
      </c>
      <c r="M764" s="1">
        <v>43321</v>
      </c>
    </row>
    <row r="765" spans="1:13" x14ac:dyDescent="0.25">
      <c r="A765">
        <v>1764</v>
      </c>
      <c r="B765">
        <v>41</v>
      </c>
      <c r="C765" t="s">
        <v>31</v>
      </c>
      <c r="D765" t="s">
        <v>16</v>
      </c>
      <c r="E765" t="s">
        <v>20</v>
      </c>
      <c r="F765" t="s">
        <v>40</v>
      </c>
      <c r="G765">
        <v>45347</v>
      </c>
      <c r="H765">
        <v>3</v>
      </c>
      <c r="I765">
        <v>15</v>
      </c>
      <c r="J765">
        <v>4</v>
      </c>
      <c r="K765">
        <v>10</v>
      </c>
      <c r="L765" s="1">
        <v>43550</v>
      </c>
      <c r="M765" s="1" t="s">
        <v>9</v>
      </c>
    </row>
    <row r="766" spans="1:13" x14ac:dyDescent="0.25">
      <c r="A766">
        <v>1765</v>
      </c>
      <c r="B766">
        <v>60</v>
      </c>
      <c r="C766" t="s">
        <v>32</v>
      </c>
      <c r="D766" t="s">
        <v>27</v>
      </c>
      <c r="E766" t="s">
        <v>14</v>
      </c>
      <c r="F766" t="s">
        <v>29</v>
      </c>
      <c r="G766">
        <v>61178</v>
      </c>
      <c r="H766">
        <v>28</v>
      </c>
      <c r="I766">
        <v>36</v>
      </c>
      <c r="J766">
        <v>3</v>
      </c>
      <c r="K766">
        <v>3</v>
      </c>
      <c r="L766" s="1">
        <v>45449</v>
      </c>
      <c r="M766" s="1">
        <v>44109</v>
      </c>
    </row>
    <row r="767" spans="1:13" x14ac:dyDescent="0.25">
      <c r="A767">
        <v>1766</v>
      </c>
      <c r="B767">
        <v>44</v>
      </c>
      <c r="C767" t="s">
        <v>32</v>
      </c>
      <c r="D767" t="s">
        <v>27</v>
      </c>
      <c r="E767" t="s">
        <v>41</v>
      </c>
      <c r="F767" t="s">
        <v>29</v>
      </c>
      <c r="G767">
        <v>79585</v>
      </c>
      <c r="H767">
        <v>0</v>
      </c>
      <c r="I767">
        <v>44</v>
      </c>
      <c r="J767">
        <v>5</v>
      </c>
      <c r="K767">
        <v>7</v>
      </c>
      <c r="L767" s="1">
        <v>45525</v>
      </c>
      <c r="M767" s="1" t="s">
        <v>9</v>
      </c>
    </row>
    <row r="768" spans="1:13" x14ac:dyDescent="0.25">
      <c r="A768">
        <v>1767</v>
      </c>
      <c r="B768">
        <v>53</v>
      </c>
      <c r="C768" t="s">
        <v>37</v>
      </c>
      <c r="D768" t="s">
        <v>19</v>
      </c>
      <c r="E768" t="s">
        <v>39</v>
      </c>
      <c r="F768" t="s">
        <v>24</v>
      </c>
      <c r="G768">
        <v>81141</v>
      </c>
      <c r="H768">
        <v>16</v>
      </c>
      <c r="I768">
        <v>43</v>
      </c>
      <c r="J768">
        <v>3</v>
      </c>
      <c r="K768">
        <v>10</v>
      </c>
      <c r="L768" s="1">
        <v>45517</v>
      </c>
      <c r="M768" s="1">
        <v>44980</v>
      </c>
    </row>
    <row r="769" spans="1:13" x14ac:dyDescent="0.25">
      <c r="A769">
        <v>1768</v>
      </c>
      <c r="B769">
        <v>41</v>
      </c>
      <c r="C769" t="s">
        <v>31</v>
      </c>
      <c r="D769" t="s">
        <v>16</v>
      </c>
      <c r="E769" t="s">
        <v>25</v>
      </c>
      <c r="F769" t="s">
        <v>21</v>
      </c>
      <c r="G769">
        <v>87686</v>
      </c>
      <c r="H769">
        <v>26</v>
      </c>
      <c r="I769">
        <v>3</v>
      </c>
      <c r="J769">
        <v>5</v>
      </c>
      <c r="K769">
        <v>6</v>
      </c>
      <c r="L769" s="1">
        <v>43857</v>
      </c>
      <c r="M769" s="1" t="s">
        <v>9</v>
      </c>
    </row>
    <row r="770" spans="1:13" x14ac:dyDescent="0.25">
      <c r="A770">
        <v>1769</v>
      </c>
      <c r="B770">
        <v>57</v>
      </c>
      <c r="C770" t="s">
        <v>31</v>
      </c>
      <c r="D770" t="s">
        <v>19</v>
      </c>
      <c r="E770" t="s">
        <v>34</v>
      </c>
      <c r="F770" t="s">
        <v>29</v>
      </c>
      <c r="G770">
        <v>60366</v>
      </c>
      <c r="H770">
        <v>9</v>
      </c>
      <c r="I770">
        <v>45</v>
      </c>
      <c r="J770">
        <v>2</v>
      </c>
      <c r="K770">
        <v>10</v>
      </c>
      <c r="L770" s="1">
        <v>43164</v>
      </c>
      <c r="M770" s="1" t="s">
        <v>9</v>
      </c>
    </row>
    <row r="771" spans="1:13" x14ac:dyDescent="0.25">
      <c r="A771">
        <v>1770</v>
      </c>
      <c r="B771">
        <v>54</v>
      </c>
      <c r="C771" t="s">
        <v>43</v>
      </c>
      <c r="D771" t="s">
        <v>22</v>
      </c>
      <c r="E771" t="s">
        <v>20</v>
      </c>
      <c r="F771" t="s">
        <v>21</v>
      </c>
      <c r="G771">
        <v>96910</v>
      </c>
      <c r="H771">
        <v>17</v>
      </c>
      <c r="I771">
        <v>53</v>
      </c>
      <c r="J771">
        <v>5</v>
      </c>
      <c r="K771">
        <v>7</v>
      </c>
      <c r="L771" s="1">
        <v>44575</v>
      </c>
      <c r="M771" s="1" t="s">
        <v>9</v>
      </c>
    </row>
    <row r="772" spans="1:13" x14ac:dyDescent="0.25">
      <c r="A772">
        <v>1771</v>
      </c>
      <c r="B772">
        <v>27</v>
      </c>
      <c r="C772" t="s">
        <v>32</v>
      </c>
      <c r="D772" t="s">
        <v>19</v>
      </c>
      <c r="E772" t="s">
        <v>14</v>
      </c>
      <c r="F772" t="s">
        <v>26</v>
      </c>
      <c r="G772">
        <v>53267</v>
      </c>
      <c r="H772">
        <v>23</v>
      </c>
      <c r="I772">
        <v>10</v>
      </c>
      <c r="J772">
        <v>3</v>
      </c>
      <c r="K772">
        <v>6</v>
      </c>
      <c r="L772" s="1">
        <v>42419</v>
      </c>
      <c r="M772" s="1" t="s">
        <v>9</v>
      </c>
    </row>
    <row r="773" spans="1:13" x14ac:dyDescent="0.25">
      <c r="A773">
        <v>1772</v>
      </c>
      <c r="B773">
        <v>60</v>
      </c>
      <c r="C773" t="s">
        <v>31</v>
      </c>
      <c r="D773" t="s">
        <v>13</v>
      </c>
      <c r="E773" t="s">
        <v>34</v>
      </c>
      <c r="F773" t="s">
        <v>17</v>
      </c>
      <c r="G773">
        <v>75391</v>
      </c>
      <c r="H773">
        <v>9</v>
      </c>
      <c r="I773">
        <v>55</v>
      </c>
      <c r="J773">
        <v>5</v>
      </c>
      <c r="K773">
        <v>8</v>
      </c>
      <c r="L773" s="1">
        <v>43785</v>
      </c>
      <c r="M773" s="1" t="s">
        <v>9</v>
      </c>
    </row>
    <row r="774" spans="1:13" x14ac:dyDescent="0.25">
      <c r="A774">
        <v>1773</v>
      </c>
      <c r="B774">
        <v>22</v>
      </c>
      <c r="C774" t="s">
        <v>32</v>
      </c>
      <c r="D774" t="s">
        <v>27</v>
      </c>
      <c r="E774" t="s">
        <v>20</v>
      </c>
      <c r="F774" t="s">
        <v>26</v>
      </c>
      <c r="G774">
        <v>102207</v>
      </c>
      <c r="H774">
        <v>23</v>
      </c>
      <c r="I774">
        <v>6</v>
      </c>
      <c r="J774">
        <v>2</v>
      </c>
      <c r="K774">
        <v>1</v>
      </c>
      <c r="L774" s="1">
        <v>44365</v>
      </c>
      <c r="M774" s="1" t="s">
        <v>9</v>
      </c>
    </row>
    <row r="775" spans="1:13" x14ac:dyDescent="0.25">
      <c r="A775">
        <v>1774</v>
      </c>
      <c r="B775">
        <v>44</v>
      </c>
      <c r="C775" t="s">
        <v>31</v>
      </c>
      <c r="D775" t="s">
        <v>27</v>
      </c>
      <c r="E775" t="s">
        <v>20</v>
      </c>
      <c r="F775" t="s">
        <v>21</v>
      </c>
      <c r="G775">
        <v>60071</v>
      </c>
      <c r="H775">
        <v>11</v>
      </c>
      <c r="I775">
        <v>29</v>
      </c>
      <c r="J775">
        <v>3</v>
      </c>
      <c r="K775">
        <v>4</v>
      </c>
      <c r="L775" s="1">
        <v>43656</v>
      </c>
      <c r="M775" s="1" t="s">
        <v>9</v>
      </c>
    </row>
    <row r="776" spans="1:13" x14ac:dyDescent="0.25">
      <c r="A776">
        <v>1775</v>
      </c>
      <c r="B776">
        <v>45</v>
      </c>
      <c r="C776" t="s">
        <v>32</v>
      </c>
      <c r="D776" t="s">
        <v>13</v>
      </c>
      <c r="E776" t="s">
        <v>41</v>
      </c>
      <c r="F776" t="s">
        <v>26</v>
      </c>
      <c r="G776">
        <v>63305</v>
      </c>
      <c r="H776">
        <v>6</v>
      </c>
      <c r="I776">
        <v>12</v>
      </c>
      <c r="J776">
        <v>1</v>
      </c>
      <c r="K776">
        <v>5</v>
      </c>
      <c r="L776" s="1">
        <v>43969</v>
      </c>
      <c r="M776" s="1" t="s">
        <v>9</v>
      </c>
    </row>
    <row r="777" spans="1:13" x14ac:dyDescent="0.25">
      <c r="A777">
        <v>1776</v>
      </c>
      <c r="B777">
        <v>57</v>
      </c>
      <c r="C777" t="s">
        <v>32</v>
      </c>
      <c r="D777" t="s">
        <v>23</v>
      </c>
      <c r="E777" t="s">
        <v>12</v>
      </c>
      <c r="F777" t="s">
        <v>29</v>
      </c>
      <c r="G777">
        <v>108402</v>
      </c>
      <c r="H777">
        <v>7</v>
      </c>
      <c r="I777">
        <v>18</v>
      </c>
      <c r="J777">
        <v>5</v>
      </c>
      <c r="K777">
        <v>1</v>
      </c>
      <c r="L777" s="1">
        <v>43780</v>
      </c>
      <c r="M777" s="1" t="s">
        <v>9</v>
      </c>
    </row>
    <row r="778" spans="1:13" x14ac:dyDescent="0.25">
      <c r="A778">
        <v>1777</v>
      </c>
      <c r="B778">
        <v>58</v>
      </c>
      <c r="C778" t="s">
        <v>37</v>
      </c>
      <c r="D778" t="s">
        <v>19</v>
      </c>
      <c r="E778" t="s">
        <v>20</v>
      </c>
      <c r="F778" t="s">
        <v>15</v>
      </c>
      <c r="G778">
        <v>60645</v>
      </c>
      <c r="H778">
        <v>2</v>
      </c>
      <c r="I778">
        <v>30</v>
      </c>
      <c r="J778">
        <v>4</v>
      </c>
      <c r="K778">
        <v>9</v>
      </c>
      <c r="L778" s="1">
        <v>45036</v>
      </c>
      <c r="M778" s="1" t="s">
        <v>9</v>
      </c>
    </row>
    <row r="779" spans="1:13" x14ac:dyDescent="0.25">
      <c r="A779">
        <v>1778</v>
      </c>
      <c r="B779">
        <v>57</v>
      </c>
      <c r="C779" t="s">
        <v>31</v>
      </c>
      <c r="D779" t="s">
        <v>16</v>
      </c>
      <c r="E779" t="s">
        <v>34</v>
      </c>
      <c r="F779" t="s">
        <v>26</v>
      </c>
      <c r="G779">
        <v>71033</v>
      </c>
      <c r="H779">
        <v>21</v>
      </c>
      <c r="I779">
        <v>13</v>
      </c>
      <c r="J779">
        <v>3</v>
      </c>
      <c r="K779">
        <v>3</v>
      </c>
      <c r="L779" s="1">
        <v>45304</v>
      </c>
      <c r="M779" s="1" t="s">
        <v>9</v>
      </c>
    </row>
    <row r="780" spans="1:13" x14ac:dyDescent="0.25">
      <c r="A780">
        <v>1779</v>
      </c>
      <c r="B780">
        <v>23</v>
      </c>
      <c r="C780" t="s">
        <v>32</v>
      </c>
      <c r="D780" t="s">
        <v>35</v>
      </c>
      <c r="E780" t="s">
        <v>41</v>
      </c>
      <c r="F780" t="s">
        <v>42</v>
      </c>
      <c r="G780">
        <v>73039</v>
      </c>
      <c r="H780">
        <v>13</v>
      </c>
      <c r="I780">
        <v>23</v>
      </c>
      <c r="J780">
        <v>2</v>
      </c>
      <c r="K780">
        <v>10</v>
      </c>
      <c r="L780" s="1">
        <v>44466</v>
      </c>
      <c r="M780" s="1" t="s">
        <v>9</v>
      </c>
    </row>
    <row r="781" spans="1:13" x14ac:dyDescent="0.25">
      <c r="A781">
        <v>1780</v>
      </c>
      <c r="B781">
        <v>44</v>
      </c>
      <c r="C781" t="s">
        <v>32</v>
      </c>
      <c r="D781" t="s">
        <v>22</v>
      </c>
      <c r="E781" t="s">
        <v>34</v>
      </c>
      <c r="F781" t="s">
        <v>17</v>
      </c>
      <c r="G781">
        <v>89109</v>
      </c>
      <c r="H781">
        <v>0</v>
      </c>
      <c r="I781">
        <v>47</v>
      </c>
      <c r="J781">
        <v>2</v>
      </c>
      <c r="K781">
        <v>5</v>
      </c>
      <c r="L781" s="1">
        <v>42694</v>
      </c>
      <c r="M781" s="1" t="s">
        <v>9</v>
      </c>
    </row>
    <row r="782" spans="1:13" x14ac:dyDescent="0.25">
      <c r="A782">
        <v>1781</v>
      </c>
      <c r="B782">
        <v>35</v>
      </c>
      <c r="C782" t="s">
        <v>32</v>
      </c>
      <c r="D782" t="s">
        <v>22</v>
      </c>
      <c r="E782" t="s">
        <v>28</v>
      </c>
      <c r="F782" t="s">
        <v>24</v>
      </c>
      <c r="G782">
        <v>87072</v>
      </c>
      <c r="H782">
        <v>1</v>
      </c>
      <c r="I782">
        <v>12</v>
      </c>
      <c r="J782">
        <v>4</v>
      </c>
      <c r="K782">
        <v>5</v>
      </c>
      <c r="L782" s="1">
        <v>44337</v>
      </c>
      <c r="M782" s="1">
        <v>42463</v>
      </c>
    </row>
    <row r="783" spans="1:13" x14ac:dyDescent="0.25">
      <c r="A783">
        <v>1782</v>
      </c>
      <c r="B783">
        <v>39</v>
      </c>
      <c r="C783" t="s">
        <v>31</v>
      </c>
      <c r="D783" t="s">
        <v>27</v>
      </c>
      <c r="E783" t="s">
        <v>14</v>
      </c>
      <c r="F783" t="s">
        <v>21</v>
      </c>
      <c r="G783">
        <v>72372</v>
      </c>
      <c r="H783">
        <v>13</v>
      </c>
      <c r="I783">
        <v>0</v>
      </c>
      <c r="J783" t="s">
        <v>9</v>
      </c>
      <c r="K783">
        <v>7</v>
      </c>
      <c r="L783" s="1">
        <v>44965</v>
      </c>
      <c r="M783" s="1" t="s">
        <v>9</v>
      </c>
    </row>
    <row r="784" spans="1:13" x14ac:dyDescent="0.25">
      <c r="A784">
        <v>1783</v>
      </c>
      <c r="B784">
        <v>52</v>
      </c>
      <c r="C784" t="s">
        <v>31</v>
      </c>
      <c r="D784" t="s">
        <v>19</v>
      </c>
      <c r="E784" t="s">
        <v>34</v>
      </c>
      <c r="F784" t="s">
        <v>29</v>
      </c>
      <c r="G784">
        <v>47646</v>
      </c>
      <c r="H784">
        <v>8</v>
      </c>
      <c r="I784">
        <v>42</v>
      </c>
      <c r="J784">
        <v>1</v>
      </c>
      <c r="K784">
        <v>1</v>
      </c>
      <c r="L784" s="1">
        <v>43928</v>
      </c>
      <c r="M784" s="1">
        <v>44418</v>
      </c>
    </row>
    <row r="785" spans="1:13" x14ac:dyDescent="0.25">
      <c r="A785">
        <v>1784</v>
      </c>
      <c r="B785">
        <v>22</v>
      </c>
      <c r="C785" t="s">
        <v>31</v>
      </c>
      <c r="D785" t="s">
        <v>23</v>
      </c>
      <c r="E785" t="s">
        <v>25</v>
      </c>
      <c r="F785" t="s">
        <v>21</v>
      </c>
      <c r="G785">
        <v>50048</v>
      </c>
      <c r="H785">
        <v>25</v>
      </c>
      <c r="I785">
        <v>19</v>
      </c>
      <c r="J785">
        <v>1</v>
      </c>
      <c r="K785">
        <v>3</v>
      </c>
      <c r="L785" s="1">
        <v>44487</v>
      </c>
      <c r="M785" s="1" t="s">
        <v>9</v>
      </c>
    </row>
    <row r="786" spans="1:13" x14ac:dyDescent="0.25">
      <c r="A786">
        <v>1785</v>
      </c>
      <c r="B786">
        <v>60</v>
      </c>
      <c r="C786" t="s">
        <v>32</v>
      </c>
      <c r="D786" t="s">
        <v>22</v>
      </c>
      <c r="E786" t="s">
        <v>28</v>
      </c>
      <c r="F786" t="s">
        <v>29</v>
      </c>
      <c r="G786">
        <v>76064</v>
      </c>
      <c r="H786">
        <v>15</v>
      </c>
      <c r="I786">
        <v>39</v>
      </c>
      <c r="J786">
        <v>2</v>
      </c>
      <c r="K786">
        <v>4</v>
      </c>
      <c r="L786" s="1">
        <v>43194</v>
      </c>
      <c r="M786" s="1">
        <v>44006</v>
      </c>
    </row>
    <row r="787" spans="1:13" x14ac:dyDescent="0.25">
      <c r="A787">
        <v>1786</v>
      </c>
      <c r="B787">
        <v>23</v>
      </c>
      <c r="C787" t="s">
        <v>32</v>
      </c>
      <c r="D787" t="s">
        <v>27</v>
      </c>
      <c r="E787" t="s">
        <v>20</v>
      </c>
      <c r="F787" t="s">
        <v>40</v>
      </c>
      <c r="G787">
        <v>79764</v>
      </c>
      <c r="H787">
        <v>5</v>
      </c>
      <c r="I787">
        <v>54</v>
      </c>
      <c r="J787">
        <v>4</v>
      </c>
      <c r="K787">
        <v>1</v>
      </c>
      <c r="L787" s="1">
        <v>45053</v>
      </c>
      <c r="M787" s="1">
        <v>44832</v>
      </c>
    </row>
    <row r="788" spans="1:13" x14ac:dyDescent="0.25">
      <c r="A788">
        <v>1787</v>
      </c>
      <c r="B788">
        <v>42</v>
      </c>
      <c r="C788" t="s">
        <v>31</v>
      </c>
      <c r="D788" t="s">
        <v>23</v>
      </c>
      <c r="E788" t="s">
        <v>14</v>
      </c>
      <c r="F788" t="s">
        <v>18</v>
      </c>
      <c r="G788">
        <v>101046</v>
      </c>
      <c r="H788">
        <v>7</v>
      </c>
      <c r="I788">
        <v>41</v>
      </c>
      <c r="J788">
        <v>5</v>
      </c>
      <c r="K788">
        <v>9</v>
      </c>
      <c r="L788" s="1">
        <v>43525</v>
      </c>
      <c r="M788" s="1" t="s">
        <v>9</v>
      </c>
    </row>
    <row r="789" spans="1:13" x14ac:dyDescent="0.25">
      <c r="A789">
        <v>1788</v>
      </c>
      <c r="B789">
        <v>49</v>
      </c>
      <c r="C789" t="s">
        <v>31</v>
      </c>
      <c r="D789" t="s">
        <v>36</v>
      </c>
      <c r="E789" t="s">
        <v>39</v>
      </c>
      <c r="F789" t="s">
        <v>42</v>
      </c>
      <c r="G789">
        <v>107177</v>
      </c>
      <c r="H789">
        <v>30</v>
      </c>
      <c r="I789">
        <v>1</v>
      </c>
      <c r="J789">
        <v>2</v>
      </c>
      <c r="K789">
        <v>10</v>
      </c>
      <c r="L789" s="1">
        <v>44464</v>
      </c>
      <c r="M789" s="1" t="s">
        <v>9</v>
      </c>
    </row>
    <row r="790" spans="1:13" x14ac:dyDescent="0.25">
      <c r="A790">
        <v>1789</v>
      </c>
      <c r="B790">
        <v>31</v>
      </c>
      <c r="C790" t="s">
        <v>33</v>
      </c>
      <c r="D790" t="s">
        <v>19</v>
      </c>
      <c r="E790" t="s">
        <v>20</v>
      </c>
      <c r="F790" t="s">
        <v>29</v>
      </c>
      <c r="G790">
        <v>101397</v>
      </c>
      <c r="H790">
        <v>12</v>
      </c>
      <c r="I790">
        <v>20</v>
      </c>
      <c r="J790">
        <v>1</v>
      </c>
      <c r="K790">
        <v>6</v>
      </c>
      <c r="L790" s="1">
        <v>43384</v>
      </c>
      <c r="M790" s="1" t="s">
        <v>9</v>
      </c>
    </row>
    <row r="791" spans="1:13" x14ac:dyDescent="0.25">
      <c r="A791">
        <v>1790</v>
      </c>
      <c r="B791">
        <v>40</v>
      </c>
      <c r="C791" t="s">
        <v>43</v>
      </c>
      <c r="D791" t="s">
        <v>13</v>
      </c>
      <c r="E791" t="s">
        <v>12</v>
      </c>
      <c r="F791" t="s">
        <v>15</v>
      </c>
      <c r="G791">
        <v>102762</v>
      </c>
      <c r="H791">
        <v>18</v>
      </c>
      <c r="I791">
        <v>48</v>
      </c>
      <c r="J791">
        <v>5</v>
      </c>
      <c r="K791">
        <v>6</v>
      </c>
      <c r="L791" s="1">
        <v>43339</v>
      </c>
      <c r="M791" s="1" t="s">
        <v>9</v>
      </c>
    </row>
    <row r="792" spans="1:13" x14ac:dyDescent="0.25">
      <c r="A792">
        <v>1791</v>
      </c>
      <c r="B792">
        <v>48</v>
      </c>
      <c r="C792" t="s">
        <v>32</v>
      </c>
      <c r="D792" t="s">
        <v>13</v>
      </c>
      <c r="E792" t="s">
        <v>14</v>
      </c>
      <c r="F792" t="s">
        <v>18</v>
      </c>
      <c r="G792">
        <v>47096</v>
      </c>
      <c r="H792">
        <v>20</v>
      </c>
      <c r="I792">
        <v>44</v>
      </c>
      <c r="J792">
        <v>1</v>
      </c>
      <c r="K792">
        <v>3</v>
      </c>
      <c r="L792" s="1">
        <v>42870</v>
      </c>
      <c r="M792" s="1" t="s">
        <v>9</v>
      </c>
    </row>
    <row r="793" spans="1:13" x14ac:dyDescent="0.25">
      <c r="A793">
        <v>1792</v>
      </c>
      <c r="B793">
        <v>41</v>
      </c>
      <c r="C793" t="s">
        <v>43</v>
      </c>
      <c r="D793" t="s">
        <v>38</v>
      </c>
      <c r="E793" t="s">
        <v>14</v>
      </c>
      <c r="F793" t="s">
        <v>29</v>
      </c>
      <c r="G793">
        <v>77314</v>
      </c>
      <c r="H793">
        <v>2</v>
      </c>
      <c r="I793">
        <v>15</v>
      </c>
      <c r="J793">
        <v>3</v>
      </c>
      <c r="K793">
        <v>9</v>
      </c>
      <c r="L793" s="1">
        <v>45295</v>
      </c>
      <c r="M793" s="1">
        <v>42456</v>
      </c>
    </row>
    <row r="794" spans="1:13" x14ac:dyDescent="0.25">
      <c r="A794">
        <v>1793</v>
      </c>
      <c r="B794">
        <v>41</v>
      </c>
      <c r="C794" t="s">
        <v>32</v>
      </c>
      <c r="D794" t="s">
        <v>23</v>
      </c>
      <c r="E794" t="s">
        <v>14</v>
      </c>
      <c r="F794" t="s">
        <v>18</v>
      </c>
      <c r="G794">
        <v>96164</v>
      </c>
      <c r="H794">
        <v>14</v>
      </c>
      <c r="I794">
        <v>43</v>
      </c>
      <c r="J794" t="s">
        <v>9</v>
      </c>
      <c r="K794">
        <v>10</v>
      </c>
      <c r="L794" s="1">
        <v>43765</v>
      </c>
      <c r="M794" s="1" t="s">
        <v>9</v>
      </c>
    </row>
    <row r="795" spans="1:13" x14ac:dyDescent="0.25">
      <c r="A795">
        <v>1794</v>
      </c>
      <c r="B795">
        <v>33</v>
      </c>
      <c r="C795" t="s">
        <v>37</v>
      </c>
      <c r="D795" t="s">
        <v>19</v>
      </c>
      <c r="E795" t="s">
        <v>20</v>
      </c>
      <c r="F795" t="s">
        <v>44</v>
      </c>
      <c r="G795">
        <v>73411</v>
      </c>
      <c r="H795">
        <v>22</v>
      </c>
      <c r="I795">
        <v>28</v>
      </c>
      <c r="J795">
        <v>2</v>
      </c>
      <c r="K795">
        <v>3</v>
      </c>
      <c r="L795" s="1">
        <v>43293</v>
      </c>
      <c r="M795" s="1" t="s">
        <v>9</v>
      </c>
    </row>
    <row r="796" spans="1:13" x14ac:dyDescent="0.25">
      <c r="A796">
        <v>1795</v>
      </c>
      <c r="B796">
        <v>40</v>
      </c>
      <c r="C796" t="s">
        <v>32</v>
      </c>
      <c r="D796" t="s">
        <v>27</v>
      </c>
      <c r="E796" t="s">
        <v>25</v>
      </c>
      <c r="F796" t="s">
        <v>29</v>
      </c>
      <c r="G796">
        <v>65819</v>
      </c>
      <c r="H796">
        <v>22</v>
      </c>
      <c r="I796">
        <v>12</v>
      </c>
      <c r="J796">
        <v>3</v>
      </c>
      <c r="K796">
        <v>10</v>
      </c>
      <c r="L796" s="1">
        <v>44263</v>
      </c>
      <c r="M796" s="1" t="s">
        <v>9</v>
      </c>
    </row>
    <row r="797" spans="1:13" x14ac:dyDescent="0.25">
      <c r="A797">
        <v>1796</v>
      </c>
      <c r="B797">
        <v>21</v>
      </c>
      <c r="C797" t="s">
        <v>32</v>
      </c>
      <c r="D797" t="s">
        <v>22</v>
      </c>
      <c r="E797" t="s">
        <v>25</v>
      </c>
      <c r="F797" t="s">
        <v>24</v>
      </c>
      <c r="G797">
        <v>69554</v>
      </c>
      <c r="H797">
        <v>30</v>
      </c>
      <c r="I797">
        <v>44</v>
      </c>
      <c r="J797">
        <v>5</v>
      </c>
      <c r="K797">
        <v>4</v>
      </c>
      <c r="L797" s="1">
        <v>44791</v>
      </c>
      <c r="M797" s="1" t="s">
        <v>9</v>
      </c>
    </row>
    <row r="798" spans="1:13" x14ac:dyDescent="0.25">
      <c r="A798">
        <v>1797</v>
      </c>
      <c r="B798">
        <v>50</v>
      </c>
      <c r="C798" t="s">
        <v>32</v>
      </c>
      <c r="D798" t="s">
        <v>22</v>
      </c>
      <c r="E798" t="s">
        <v>28</v>
      </c>
      <c r="F798" t="s">
        <v>18</v>
      </c>
      <c r="G798">
        <v>88159</v>
      </c>
      <c r="H798">
        <v>27</v>
      </c>
      <c r="I798">
        <v>42</v>
      </c>
      <c r="J798">
        <v>1</v>
      </c>
      <c r="K798">
        <v>1</v>
      </c>
      <c r="L798" s="1">
        <v>43305</v>
      </c>
      <c r="M798" s="1">
        <v>44686</v>
      </c>
    </row>
    <row r="799" spans="1:13" x14ac:dyDescent="0.25">
      <c r="A799">
        <v>1798</v>
      </c>
      <c r="B799">
        <v>23</v>
      </c>
      <c r="C799" t="s">
        <v>37</v>
      </c>
      <c r="D799" t="s">
        <v>19</v>
      </c>
      <c r="E799" t="s">
        <v>41</v>
      </c>
      <c r="F799" t="s">
        <v>24</v>
      </c>
      <c r="G799">
        <v>46744</v>
      </c>
      <c r="H799">
        <v>18</v>
      </c>
      <c r="I799">
        <v>25</v>
      </c>
      <c r="J799">
        <v>1</v>
      </c>
      <c r="K799">
        <v>1</v>
      </c>
      <c r="L799" s="1">
        <v>45481</v>
      </c>
      <c r="M799" s="1" t="s">
        <v>9</v>
      </c>
    </row>
    <row r="800" spans="1:13" x14ac:dyDescent="0.25">
      <c r="A800">
        <v>1799</v>
      </c>
      <c r="B800">
        <v>34</v>
      </c>
      <c r="C800" t="s">
        <v>32</v>
      </c>
      <c r="D800" t="s">
        <v>23</v>
      </c>
      <c r="E800" t="s">
        <v>12</v>
      </c>
      <c r="F800" t="s">
        <v>26</v>
      </c>
      <c r="G800">
        <v>73451</v>
      </c>
      <c r="H800">
        <v>2</v>
      </c>
      <c r="I800">
        <v>14</v>
      </c>
      <c r="J800">
        <v>5</v>
      </c>
      <c r="K800">
        <v>6</v>
      </c>
      <c r="L800" s="1">
        <v>42071</v>
      </c>
      <c r="M800" s="1" t="s">
        <v>9</v>
      </c>
    </row>
    <row r="801" spans="1:13" x14ac:dyDescent="0.25">
      <c r="A801">
        <v>1800</v>
      </c>
      <c r="B801">
        <v>54</v>
      </c>
      <c r="C801" t="s">
        <v>32</v>
      </c>
      <c r="D801" t="s">
        <v>22</v>
      </c>
      <c r="E801" t="s">
        <v>12</v>
      </c>
      <c r="F801" t="s">
        <v>24</v>
      </c>
      <c r="G801">
        <v>109392</v>
      </c>
      <c r="H801">
        <v>18</v>
      </c>
      <c r="I801">
        <v>48</v>
      </c>
      <c r="J801">
        <v>2</v>
      </c>
      <c r="K801">
        <v>10</v>
      </c>
      <c r="L801" s="1">
        <v>45644</v>
      </c>
      <c r="M801" s="1" t="s">
        <v>9</v>
      </c>
    </row>
    <row r="802" spans="1:13" x14ac:dyDescent="0.25">
      <c r="A802">
        <v>1801</v>
      </c>
      <c r="B802">
        <v>60</v>
      </c>
      <c r="C802" t="s">
        <v>31</v>
      </c>
      <c r="D802" t="s">
        <v>13</v>
      </c>
      <c r="E802" t="s">
        <v>25</v>
      </c>
      <c r="F802" t="s">
        <v>18</v>
      </c>
      <c r="G802">
        <v>87898</v>
      </c>
      <c r="H802">
        <v>21</v>
      </c>
      <c r="I802">
        <v>15</v>
      </c>
      <c r="J802">
        <v>2</v>
      </c>
      <c r="K802">
        <v>7</v>
      </c>
      <c r="L802" s="1">
        <v>42738</v>
      </c>
      <c r="M802" s="1">
        <v>44417</v>
      </c>
    </row>
    <row r="803" spans="1:13" x14ac:dyDescent="0.25">
      <c r="A803">
        <v>1802</v>
      </c>
      <c r="B803">
        <v>28</v>
      </c>
      <c r="C803" t="s">
        <v>31</v>
      </c>
      <c r="D803" t="s">
        <v>13</v>
      </c>
      <c r="E803" t="s">
        <v>20</v>
      </c>
      <c r="F803" t="s">
        <v>17</v>
      </c>
      <c r="G803">
        <v>77727</v>
      </c>
      <c r="H803">
        <v>7</v>
      </c>
      <c r="I803">
        <v>33</v>
      </c>
      <c r="J803">
        <v>3</v>
      </c>
      <c r="K803">
        <v>4</v>
      </c>
      <c r="L803" s="1">
        <v>44828</v>
      </c>
      <c r="M803" s="1">
        <v>44414</v>
      </c>
    </row>
    <row r="804" spans="1:13" x14ac:dyDescent="0.25">
      <c r="A804">
        <v>1803</v>
      </c>
      <c r="B804">
        <v>21</v>
      </c>
      <c r="C804" t="s">
        <v>32</v>
      </c>
      <c r="D804" t="s">
        <v>35</v>
      </c>
      <c r="E804" t="s">
        <v>25</v>
      </c>
      <c r="F804" t="s">
        <v>21</v>
      </c>
      <c r="G804">
        <v>93659</v>
      </c>
      <c r="H804">
        <v>27</v>
      </c>
      <c r="I804">
        <v>54</v>
      </c>
      <c r="J804" t="s">
        <v>9</v>
      </c>
      <c r="K804">
        <v>2</v>
      </c>
      <c r="L804" s="1">
        <v>43724</v>
      </c>
      <c r="M804" s="1" t="s">
        <v>9</v>
      </c>
    </row>
    <row r="805" spans="1:13" x14ac:dyDescent="0.25">
      <c r="A805">
        <v>1804</v>
      </c>
      <c r="B805">
        <v>26</v>
      </c>
      <c r="C805" t="s">
        <v>31</v>
      </c>
      <c r="D805" t="s">
        <v>19</v>
      </c>
      <c r="E805" t="s">
        <v>25</v>
      </c>
      <c r="F805" t="s">
        <v>29</v>
      </c>
      <c r="G805">
        <v>73961</v>
      </c>
      <c r="H805">
        <v>17</v>
      </c>
      <c r="I805">
        <v>22</v>
      </c>
      <c r="J805">
        <v>2</v>
      </c>
      <c r="K805">
        <v>4</v>
      </c>
      <c r="L805" s="1">
        <v>43925</v>
      </c>
      <c r="M805" s="1" t="s">
        <v>9</v>
      </c>
    </row>
    <row r="806" spans="1:13" x14ac:dyDescent="0.25">
      <c r="A806">
        <v>1805</v>
      </c>
      <c r="B806">
        <v>40</v>
      </c>
      <c r="C806" t="s">
        <v>32</v>
      </c>
      <c r="D806" t="s">
        <v>13</v>
      </c>
      <c r="E806" t="s">
        <v>25</v>
      </c>
      <c r="F806" t="s">
        <v>18</v>
      </c>
      <c r="G806">
        <v>70868</v>
      </c>
      <c r="H806">
        <v>1</v>
      </c>
      <c r="I806">
        <v>18</v>
      </c>
      <c r="J806">
        <v>5</v>
      </c>
      <c r="K806">
        <v>7</v>
      </c>
      <c r="L806" s="1">
        <v>44657</v>
      </c>
      <c r="M806" s="1" t="s">
        <v>9</v>
      </c>
    </row>
    <row r="807" spans="1:13" x14ac:dyDescent="0.25">
      <c r="A807">
        <v>1806</v>
      </c>
      <c r="B807">
        <v>41</v>
      </c>
      <c r="C807" t="s">
        <v>32</v>
      </c>
      <c r="D807" t="s">
        <v>23</v>
      </c>
      <c r="E807" t="s">
        <v>28</v>
      </c>
      <c r="F807" t="s">
        <v>40</v>
      </c>
      <c r="G807">
        <v>48136</v>
      </c>
      <c r="H807">
        <v>26</v>
      </c>
      <c r="I807">
        <v>14</v>
      </c>
      <c r="J807">
        <v>3</v>
      </c>
      <c r="K807">
        <v>8</v>
      </c>
      <c r="L807" s="1">
        <v>45378</v>
      </c>
      <c r="M807" s="1">
        <v>44131</v>
      </c>
    </row>
    <row r="808" spans="1:13" x14ac:dyDescent="0.25">
      <c r="A808">
        <v>1807</v>
      </c>
      <c r="B808">
        <v>47</v>
      </c>
      <c r="C808" t="s">
        <v>43</v>
      </c>
      <c r="D808" t="s">
        <v>35</v>
      </c>
      <c r="E808" t="s">
        <v>41</v>
      </c>
      <c r="F808" t="s">
        <v>15</v>
      </c>
      <c r="G808">
        <v>89311</v>
      </c>
      <c r="H808">
        <v>30</v>
      </c>
      <c r="I808">
        <v>24</v>
      </c>
      <c r="J808">
        <v>1</v>
      </c>
      <c r="K808">
        <v>9</v>
      </c>
      <c r="L808" s="1">
        <v>44102</v>
      </c>
      <c r="M808" s="1">
        <v>45256</v>
      </c>
    </row>
    <row r="809" spans="1:13" x14ac:dyDescent="0.25">
      <c r="A809">
        <v>1808</v>
      </c>
      <c r="B809">
        <v>24</v>
      </c>
      <c r="C809" t="s">
        <v>32</v>
      </c>
      <c r="D809" t="s">
        <v>13</v>
      </c>
      <c r="E809" t="s">
        <v>28</v>
      </c>
      <c r="F809" t="s">
        <v>17</v>
      </c>
      <c r="G809">
        <v>91876</v>
      </c>
      <c r="H809">
        <v>20</v>
      </c>
      <c r="I809">
        <v>22</v>
      </c>
      <c r="J809">
        <v>3</v>
      </c>
      <c r="K809">
        <v>5</v>
      </c>
      <c r="L809" s="1">
        <v>44545</v>
      </c>
      <c r="M809" s="1">
        <v>44919</v>
      </c>
    </row>
    <row r="810" spans="1:13" x14ac:dyDescent="0.25">
      <c r="A810">
        <v>1809</v>
      </c>
      <c r="B810">
        <v>31</v>
      </c>
      <c r="C810" t="s">
        <v>33</v>
      </c>
      <c r="D810" t="s">
        <v>19</v>
      </c>
      <c r="E810" t="s">
        <v>41</v>
      </c>
      <c r="F810" t="s">
        <v>15</v>
      </c>
      <c r="G810">
        <v>85297</v>
      </c>
      <c r="H810">
        <v>10</v>
      </c>
      <c r="I810">
        <v>6</v>
      </c>
      <c r="J810">
        <v>2</v>
      </c>
      <c r="K810">
        <v>2</v>
      </c>
      <c r="L810" s="1">
        <v>43778</v>
      </c>
      <c r="M810" s="1" t="s">
        <v>9</v>
      </c>
    </row>
    <row r="811" spans="1:13" x14ac:dyDescent="0.25">
      <c r="A811">
        <v>1810</v>
      </c>
      <c r="B811">
        <v>41</v>
      </c>
      <c r="C811" t="s">
        <v>32</v>
      </c>
      <c r="D811" t="s">
        <v>22</v>
      </c>
      <c r="E811" t="s">
        <v>14</v>
      </c>
      <c r="F811" t="s">
        <v>40</v>
      </c>
      <c r="G811">
        <v>80745</v>
      </c>
      <c r="H811">
        <v>5</v>
      </c>
      <c r="I811">
        <v>57</v>
      </c>
      <c r="J811">
        <v>3</v>
      </c>
      <c r="K811">
        <v>3</v>
      </c>
      <c r="L811" s="1">
        <v>43064</v>
      </c>
      <c r="M811" s="1" t="s">
        <v>9</v>
      </c>
    </row>
    <row r="812" spans="1:13" x14ac:dyDescent="0.25">
      <c r="A812">
        <v>1811</v>
      </c>
      <c r="B812">
        <v>53</v>
      </c>
      <c r="C812" t="s">
        <v>31</v>
      </c>
      <c r="D812" t="s">
        <v>23</v>
      </c>
      <c r="E812" t="s">
        <v>28</v>
      </c>
      <c r="F812" t="s">
        <v>15</v>
      </c>
      <c r="G812">
        <v>93857</v>
      </c>
      <c r="H812">
        <v>8</v>
      </c>
      <c r="I812">
        <v>38</v>
      </c>
      <c r="J812">
        <v>4</v>
      </c>
      <c r="K812">
        <v>5</v>
      </c>
      <c r="L812" s="1">
        <v>43300</v>
      </c>
      <c r="M812" s="1" t="s">
        <v>9</v>
      </c>
    </row>
    <row r="813" spans="1:13" x14ac:dyDescent="0.25">
      <c r="A813">
        <v>1812</v>
      </c>
      <c r="B813">
        <v>27</v>
      </c>
      <c r="C813" t="s">
        <v>32</v>
      </c>
      <c r="D813" t="s">
        <v>23</v>
      </c>
      <c r="E813" t="s">
        <v>20</v>
      </c>
      <c r="F813" t="s">
        <v>17</v>
      </c>
      <c r="G813">
        <v>53976</v>
      </c>
      <c r="H813">
        <v>27</v>
      </c>
      <c r="I813">
        <v>36</v>
      </c>
      <c r="J813">
        <v>3</v>
      </c>
      <c r="K813">
        <v>5</v>
      </c>
      <c r="L813" s="1">
        <v>42627</v>
      </c>
      <c r="M813" s="1">
        <v>45508</v>
      </c>
    </row>
    <row r="814" spans="1:13" x14ac:dyDescent="0.25">
      <c r="A814">
        <v>1813</v>
      </c>
      <c r="B814">
        <v>24</v>
      </c>
      <c r="C814" t="s">
        <v>32</v>
      </c>
      <c r="D814" t="s">
        <v>19</v>
      </c>
      <c r="E814" t="s">
        <v>20</v>
      </c>
      <c r="F814" t="s">
        <v>44</v>
      </c>
      <c r="G814">
        <v>75757</v>
      </c>
      <c r="H814">
        <v>28</v>
      </c>
      <c r="I814">
        <v>53</v>
      </c>
      <c r="J814">
        <v>3</v>
      </c>
      <c r="K814">
        <v>6</v>
      </c>
      <c r="L814" s="1">
        <v>45061</v>
      </c>
      <c r="M814" s="1">
        <v>43983</v>
      </c>
    </row>
    <row r="815" spans="1:13" x14ac:dyDescent="0.25">
      <c r="A815">
        <v>1814</v>
      </c>
      <c r="B815">
        <v>47</v>
      </c>
      <c r="C815" t="s">
        <v>31</v>
      </c>
      <c r="D815" t="s">
        <v>27</v>
      </c>
      <c r="E815" t="s">
        <v>20</v>
      </c>
      <c r="F815" t="s">
        <v>26</v>
      </c>
      <c r="G815">
        <v>57643</v>
      </c>
      <c r="H815">
        <v>0</v>
      </c>
      <c r="I815">
        <v>16</v>
      </c>
      <c r="J815">
        <v>3</v>
      </c>
      <c r="K815">
        <v>10</v>
      </c>
      <c r="L815" s="1">
        <v>43600</v>
      </c>
      <c r="M815" s="1" t="s">
        <v>9</v>
      </c>
    </row>
    <row r="816" spans="1:13" x14ac:dyDescent="0.25">
      <c r="A816">
        <v>1815</v>
      </c>
      <c r="B816">
        <v>27</v>
      </c>
      <c r="C816" t="s">
        <v>31</v>
      </c>
      <c r="D816" t="s">
        <v>38</v>
      </c>
      <c r="E816" t="s">
        <v>14</v>
      </c>
      <c r="F816" t="s">
        <v>15</v>
      </c>
      <c r="G816">
        <v>105610</v>
      </c>
      <c r="H816">
        <v>13</v>
      </c>
      <c r="I816">
        <v>43</v>
      </c>
      <c r="J816">
        <v>5</v>
      </c>
      <c r="K816">
        <v>6</v>
      </c>
      <c r="L816" s="1">
        <v>44610</v>
      </c>
      <c r="M816" s="1" t="s">
        <v>9</v>
      </c>
    </row>
    <row r="817" spans="1:13" x14ac:dyDescent="0.25">
      <c r="A817">
        <v>1816</v>
      </c>
      <c r="B817">
        <v>27</v>
      </c>
      <c r="C817" t="s">
        <v>31</v>
      </c>
      <c r="D817" t="s">
        <v>35</v>
      </c>
      <c r="E817" t="s">
        <v>20</v>
      </c>
      <c r="F817" t="s">
        <v>21</v>
      </c>
      <c r="G817">
        <v>107579</v>
      </c>
      <c r="H817">
        <v>14</v>
      </c>
      <c r="I817">
        <v>50</v>
      </c>
      <c r="J817">
        <v>5</v>
      </c>
      <c r="K817">
        <v>4</v>
      </c>
      <c r="L817" s="1">
        <v>42294</v>
      </c>
      <c r="M817" s="1" t="s">
        <v>9</v>
      </c>
    </row>
    <row r="818" spans="1:13" x14ac:dyDescent="0.25">
      <c r="A818">
        <v>1817</v>
      </c>
      <c r="B818">
        <v>46</v>
      </c>
      <c r="C818" t="s">
        <v>33</v>
      </c>
      <c r="D818" t="s">
        <v>38</v>
      </c>
      <c r="E818" t="s">
        <v>20</v>
      </c>
      <c r="F818" t="s">
        <v>17</v>
      </c>
      <c r="G818">
        <v>82049</v>
      </c>
      <c r="H818">
        <v>12</v>
      </c>
      <c r="I818">
        <v>0</v>
      </c>
      <c r="J818" t="s">
        <v>9</v>
      </c>
      <c r="K818">
        <v>9</v>
      </c>
      <c r="L818" s="1">
        <v>42670</v>
      </c>
      <c r="M818" s="1">
        <v>44460</v>
      </c>
    </row>
    <row r="819" spans="1:13" x14ac:dyDescent="0.25">
      <c r="A819">
        <v>1818</v>
      </c>
      <c r="B819">
        <v>41</v>
      </c>
      <c r="C819" t="s">
        <v>33</v>
      </c>
      <c r="D819" t="s">
        <v>19</v>
      </c>
      <c r="E819" t="s">
        <v>25</v>
      </c>
      <c r="F819" t="s">
        <v>21</v>
      </c>
      <c r="G819">
        <v>95678</v>
      </c>
      <c r="H819">
        <v>22</v>
      </c>
      <c r="I819">
        <v>54</v>
      </c>
      <c r="J819">
        <v>5</v>
      </c>
      <c r="K819">
        <v>5</v>
      </c>
      <c r="L819" s="1">
        <v>42233</v>
      </c>
      <c r="M819" s="1" t="s">
        <v>9</v>
      </c>
    </row>
    <row r="820" spans="1:13" x14ac:dyDescent="0.25">
      <c r="A820">
        <v>1819</v>
      </c>
      <c r="B820">
        <v>57</v>
      </c>
      <c r="C820" t="s">
        <v>31</v>
      </c>
      <c r="D820" t="s">
        <v>35</v>
      </c>
      <c r="E820" t="s">
        <v>12</v>
      </c>
      <c r="F820" t="s">
        <v>44</v>
      </c>
      <c r="G820">
        <v>88180</v>
      </c>
      <c r="H820">
        <v>13</v>
      </c>
      <c r="I820">
        <v>53</v>
      </c>
      <c r="J820" t="s">
        <v>9</v>
      </c>
      <c r="K820">
        <v>5</v>
      </c>
      <c r="L820" s="1">
        <v>43506</v>
      </c>
      <c r="M820" s="1">
        <v>43432</v>
      </c>
    </row>
    <row r="821" spans="1:13" x14ac:dyDescent="0.25">
      <c r="A821">
        <v>1820</v>
      </c>
      <c r="B821">
        <v>28</v>
      </c>
      <c r="C821" t="s">
        <v>32</v>
      </c>
      <c r="D821" t="s">
        <v>22</v>
      </c>
      <c r="E821" t="s">
        <v>28</v>
      </c>
      <c r="F821" t="s">
        <v>21</v>
      </c>
      <c r="G821">
        <v>52075</v>
      </c>
      <c r="H821">
        <v>28</v>
      </c>
      <c r="I821">
        <v>16</v>
      </c>
      <c r="J821" t="s">
        <v>9</v>
      </c>
      <c r="K821">
        <v>6</v>
      </c>
      <c r="L821" s="1">
        <v>43575</v>
      </c>
      <c r="M821" s="1" t="s">
        <v>9</v>
      </c>
    </row>
    <row r="822" spans="1:13" x14ac:dyDescent="0.25">
      <c r="A822">
        <v>1821</v>
      </c>
      <c r="B822">
        <v>29</v>
      </c>
      <c r="C822" t="s">
        <v>31</v>
      </c>
      <c r="D822" t="s">
        <v>38</v>
      </c>
      <c r="E822" t="s">
        <v>12</v>
      </c>
      <c r="F822" t="s">
        <v>18</v>
      </c>
      <c r="G822">
        <v>96886</v>
      </c>
      <c r="H822">
        <v>25</v>
      </c>
      <c r="I822">
        <v>3</v>
      </c>
      <c r="J822" t="s">
        <v>9</v>
      </c>
      <c r="K822">
        <v>9</v>
      </c>
      <c r="L822" s="1">
        <v>45268</v>
      </c>
      <c r="M822" s="1">
        <v>43560</v>
      </c>
    </row>
    <row r="823" spans="1:13" x14ac:dyDescent="0.25">
      <c r="A823">
        <v>1822</v>
      </c>
      <c r="B823">
        <v>54</v>
      </c>
      <c r="C823" t="s">
        <v>33</v>
      </c>
      <c r="D823" t="s">
        <v>19</v>
      </c>
      <c r="E823" t="s">
        <v>14</v>
      </c>
      <c r="F823" t="s">
        <v>29</v>
      </c>
      <c r="G823">
        <v>67319</v>
      </c>
      <c r="H823">
        <v>18</v>
      </c>
      <c r="I823">
        <v>24</v>
      </c>
      <c r="J823">
        <v>1</v>
      </c>
      <c r="K823">
        <v>7</v>
      </c>
      <c r="L823" s="1">
        <v>44370</v>
      </c>
      <c r="M823" s="1" t="s">
        <v>9</v>
      </c>
    </row>
    <row r="824" spans="1:13" x14ac:dyDescent="0.25">
      <c r="A824">
        <v>1823</v>
      </c>
      <c r="B824">
        <v>57</v>
      </c>
      <c r="C824" t="s">
        <v>32</v>
      </c>
      <c r="D824" t="s">
        <v>38</v>
      </c>
      <c r="E824" t="s">
        <v>25</v>
      </c>
      <c r="F824" t="s">
        <v>29</v>
      </c>
      <c r="G824">
        <v>109551</v>
      </c>
      <c r="H824">
        <v>5</v>
      </c>
      <c r="I824">
        <v>14</v>
      </c>
      <c r="J824">
        <v>5</v>
      </c>
      <c r="K824">
        <v>1</v>
      </c>
      <c r="L824" s="1">
        <v>43020</v>
      </c>
      <c r="M824" s="1">
        <v>42473</v>
      </c>
    </row>
    <row r="825" spans="1:13" x14ac:dyDescent="0.25">
      <c r="A825">
        <v>1824</v>
      </c>
      <c r="B825">
        <v>53</v>
      </c>
      <c r="C825" t="s">
        <v>32</v>
      </c>
      <c r="D825" t="s">
        <v>13</v>
      </c>
      <c r="E825" t="s">
        <v>25</v>
      </c>
      <c r="F825" t="s">
        <v>15</v>
      </c>
      <c r="G825">
        <v>103385</v>
      </c>
      <c r="H825">
        <v>4</v>
      </c>
      <c r="I825">
        <v>8</v>
      </c>
      <c r="J825">
        <v>2</v>
      </c>
      <c r="K825">
        <v>8</v>
      </c>
      <c r="L825" s="1">
        <v>45012</v>
      </c>
      <c r="M825" s="1" t="s">
        <v>9</v>
      </c>
    </row>
    <row r="826" spans="1:13" x14ac:dyDescent="0.25">
      <c r="A826">
        <v>1825</v>
      </c>
      <c r="B826">
        <v>56</v>
      </c>
      <c r="C826" t="s">
        <v>32</v>
      </c>
      <c r="D826" t="s">
        <v>13</v>
      </c>
      <c r="E826" t="s">
        <v>28</v>
      </c>
      <c r="F826" t="s">
        <v>29</v>
      </c>
      <c r="G826">
        <v>47940</v>
      </c>
      <c r="H826">
        <v>23</v>
      </c>
      <c r="I826">
        <v>20</v>
      </c>
      <c r="J826">
        <v>2</v>
      </c>
      <c r="K826">
        <v>5</v>
      </c>
      <c r="L826" s="1">
        <v>43993</v>
      </c>
      <c r="M826" s="1" t="s">
        <v>9</v>
      </c>
    </row>
    <row r="827" spans="1:13" x14ac:dyDescent="0.25">
      <c r="A827">
        <v>1826</v>
      </c>
      <c r="B827">
        <v>41</v>
      </c>
      <c r="C827" t="s">
        <v>31</v>
      </c>
      <c r="D827" t="s">
        <v>23</v>
      </c>
      <c r="E827" t="s">
        <v>25</v>
      </c>
      <c r="F827" t="s">
        <v>29</v>
      </c>
      <c r="G827">
        <v>95418</v>
      </c>
      <c r="H827">
        <v>19</v>
      </c>
      <c r="I827">
        <v>45</v>
      </c>
      <c r="J827" t="s">
        <v>9</v>
      </c>
      <c r="K827">
        <v>1</v>
      </c>
      <c r="L827" s="1">
        <v>44831</v>
      </c>
      <c r="M827" s="1">
        <v>45133</v>
      </c>
    </row>
    <row r="828" spans="1:13" x14ac:dyDescent="0.25">
      <c r="A828">
        <v>1827</v>
      </c>
      <c r="B828">
        <v>40</v>
      </c>
      <c r="C828" t="s">
        <v>31</v>
      </c>
      <c r="D828" t="s">
        <v>35</v>
      </c>
      <c r="E828" t="s">
        <v>34</v>
      </c>
      <c r="F828" t="s">
        <v>29</v>
      </c>
      <c r="G828">
        <v>54245</v>
      </c>
      <c r="H828">
        <v>10</v>
      </c>
      <c r="I828">
        <v>27</v>
      </c>
      <c r="J828">
        <v>1</v>
      </c>
      <c r="K828">
        <v>8</v>
      </c>
      <c r="L828" s="1">
        <v>44556</v>
      </c>
      <c r="M828" s="1" t="s">
        <v>9</v>
      </c>
    </row>
    <row r="829" spans="1:13" x14ac:dyDescent="0.25">
      <c r="A829">
        <v>1828</v>
      </c>
      <c r="B829">
        <v>31</v>
      </c>
      <c r="C829" t="s">
        <v>37</v>
      </c>
      <c r="D829" t="s">
        <v>27</v>
      </c>
      <c r="E829" t="s">
        <v>14</v>
      </c>
      <c r="F829" t="s">
        <v>21</v>
      </c>
      <c r="G829">
        <v>82874</v>
      </c>
      <c r="H829">
        <v>11</v>
      </c>
      <c r="I829">
        <v>12</v>
      </c>
      <c r="J829" t="s">
        <v>9</v>
      </c>
      <c r="K829">
        <v>5</v>
      </c>
      <c r="L829" s="1">
        <v>43475</v>
      </c>
      <c r="M829" s="1" t="s">
        <v>9</v>
      </c>
    </row>
    <row r="830" spans="1:13" x14ac:dyDescent="0.25">
      <c r="A830">
        <v>1829</v>
      </c>
      <c r="B830">
        <v>23</v>
      </c>
      <c r="C830" t="s">
        <v>33</v>
      </c>
      <c r="D830" t="s">
        <v>23</v>
      </c>
      <c r="E830" t="s">
        <v>41</v>
      </c>
      <c r="F830" t="s">
        <v>26</v>
      </c>
      <c r="G830">
        <v>100762</v>
      </c>
      <c r="H830">
        <v>27</v>
      </c>
      <c r="I830">
        <v>7</v>
      </c>
      <c r="J830">
        <v>2</v>
      </c>
      <c r="K830">
        <v>1</v>
      </c>
      <c r="L830" s="1">
        <v>44484</v>
      </c>
      <c r="M830" s="1" t="s">
        <v>9</v>
      </c>
    </row>
    <row r="831" spans="1:13" x14ac:dyDescent="0.25">
      <c r="A831">
        <v>1830</v>
      </c>
      <c r="B831">
        <v>33</v>
      </c>
      <c r="C831" t="s">
        <v>32</v>
      </c>
      <c r="D831" t="s">
        <v>23</v>
      </c>
      <c r="E831" t="s">
        <v>25</v>
      </c>
      <c r="F831" t="s">
        <v>21</v>
      </c>
      <c r="G831">
        <v>47179</v>
      </c>
      <c r="H831">
        <v>16</v>
      </c>
      <c r="I831">
        <v>47</v>
      </c>
      <c r="J831" t="s">
        <v>9</v>
      </c>
      <c r="K831">
        <v>10</v>
      </c>
      <c r="L831" s="1">
        <v>44049</v>
      </c>
      <c r="M831" s="1" t="s">
        <v>9</v>
      </c>
    </row>
    <row r="832" spans="1:13" x14ac:dyDescent="0.25">
      <c r="A832">
        <v>1831</v>
      </c>
      <c r="B832">
        <v>37</v>
      </c>
      <c r="C832" t="s">
        <v>31</v>
      </c>
      <c r="D832" t="s">
        <v>22</v>
      </c>
      <c r="E832" t="s">
        <v>25</v>
      </c>
      <c r="F832" t="s">
        <v>24</v>
      </c>
      <c r="G832">
        <v>48264</v>
      </c>
      <c r="H832">
        <v>16</v>
      </c>
      <c r="I832">
        <v>17</v>
      </c>
      <c r="J832">
        <v>3</v>
      </c>
      <c r="K832">
        <v>4</v>
      </c>
      <c r="L832" s="1">
        <v>42720</v>
      </c>
      <c r="M832" s="1" t="s">
        <v>9</v>
      </c>
    </row>
    <row r="833" spans="1:13" x14ac:dyDescent="0.25">
      <c r="A833">
        <v>1832</v>
      </c>
      <c r="B833">
        <v>59</v>
      </c>
      <c r="C833" t="s">
        <v>32</v>
      </c>
      <c r="D833" t="s">
        <v>23</v>
      </c>
      <c r="E833" t="s">
        <v>34</v>
      </c>
      <c r="F833" t="s">
        <v>24</v>
      </c>
      <c r="G833">
        <v>47506</v>
      </c>
      <c r="H833">
        <v>3</v>
      </c>
      <c r="I833">
        <v>38</v>
      </c>
      <c r="J833">
        <v>5</v>
      </c>
      <c r="K833">
        <v>7</v>
      </c>
      <c r="L833" s="1">
        <v>43577</v>
      </c>
      <c r="M833" s="1" t="s">
        <v>9</v>
      </c>
    </row>
    <row r="834" spans="1:13" x14ac:dyDescent="0.25">
      <c r="A834">
        <v>1833</v>
      </c>
      <c r="B834">
        <v>21</v>
      </c>
      <c r="C834" t="s">
        <v>32</v>
      </c>
      <c r="D834" t="s">
        <v>13</v>
      </c>
      <c r="E834" t="s">
        <v>28</v>
      </c>
      <c r="F834" t="s">
        <v>29</v>
      </c>
      <c r="G834">
        <v>47673</v>
      </c>
      <c r="H834">
        <v>19</v>
      </c>
      <c r="I834">
        <v>3</v>
      </c>
      <c r="J834">
        <v>4</v>
      </c>
      <c r="K834">
        <v>1</v>
      </c>
      <c r="L834" s="1">
        <v>45225</v>
      </c>
      <c r="M834" s="1">
        <v>43834</v>
      </c>
    </row>
    <row r="835" spans="1:13" x14ac:dyDescent="0.25">
      <c r="A835">
        <v>1834</v>
      </c>
      <c r="B835">
        <v>54</v>
      </c>
      <c r="C835" t="s">
        <v>31</v>
      </c>
      <c r="D835" t="s">
        <v>23</v>
      </c>
      <c r="E835" t="s">
        <v>41</v>
      </c>
      <c r="F835" t="s">
        <v>15</v>
      </c>
      <c r="G835">
        <v>93785</v>
      </c>
      <c r="H835">
        <v>6</v>
      </c>
      <c r="I835">
        <v>5</v>
      </c>
      <c r="J835">
        <v>1</v>
      </c>
      <c r="K835">
        <v>10</v>
      </c>
      <c r="L835" s="1">
        <v>42083</v>
      </c>
      <c r="M835" s="1" t="s">
        <v>9</v>
      </c>
    </row>
    <row r="836" spans="1:13" x14ac:dyDescent="0.25">
      <c r="A836">
        <v>1835</v>
      </c>
      <c r="B836">
        <v>39</v>
      </c>
      <c r="C836" t="s">
        <v>32</v>
      </c>
      <c r="D836" t="s">
        <v>23</v>
      </c>
      <c r="E836" t="s">
        <v>14</v>
      </c>
      <c r="F836" t="s">
        <v>21</v>
      </c>
      <c r="G836">
        <v>73904</v>
      </c>
      <c r="H836">
        <v>30</v>
      </c>
      <c r="I836">
        <v>44</v>
      </c>
      <c r="J836">
        <v>1</v>
      </c>
      <c r="K836">
        <v>6</v>
      </c>
      <c r="L836" s="1">
        <v>43236</v>
      </c>
      <c r="M836" s="1" t="s">
        <v>9</v>
      </c>
    </row>
    <row r="837" spans="1:13" x14ac:dyDescent="0.25">
      <c r="A837">
        <v>1836</v>
      </c>
      <c r="B837">
        <v>26</v>
      </c>
      <c r="C837" t="s">
        <v>32</v>
      </c>
      <c r="D837" t="s">
        <v>16</v>
      </c>
      <c r="E837" t="s">
        <v>14</v>
      </c>
      <c r="F837" t="s">
        <v>24</v>
      </c>
      <c r="G837">
        <v>109736</v>
      </c>
      <c r="H837">
        <v>21</v>
      </c>
      <c r="I837">
        <v>45</v>
      </c>
      <c r="J837">
        <v>3</v>
      </c>
      <c r="K837">
        <v>9</v>
      </c>
      <c r="L837" s="1">
        <v>44317</v>
      </c>
      <c r="M837" s="1" t="s">
        <v>9</v>
      </c>
    </row>
    <row r="838" spans="1:13" x14ac:dyDescent="0.25">
      <c r="A838">
        <v>1837</v>
      </c>
      <c r="B838">
        <v>49</v>
      </c>
      <c r="C838" t="s">
        <v>31</v>
      </c>
      <c r="D838" t="s">
        <v>19</v>
      </c>
      <c r="E838" t="s">
        <v>20</v>
      </c>
      <c r="F838" t="s">
        <v>18</v>
      </c>
      <c r="G838">
        <v>91723</v>
      </c>
      <c r="H838">
        <v>29</v>
      </c>
      <c r="I838">
        <v>37</v>
      </c>
      <c r="J838">
        <v>5</v>
      </c>
      <c r="K838">
        <v>4</v>
      </c>
      <c r="L838" s="1">
        <v>43209</v>
      </c>
      <c r="M838" s="1">
        <v>42921</v>
      </c>
    </row>
    <row r="839" spans="1:13" x14ac:dyDescent="0.25">
      <c r="A839">
        <v>1838</v>
      </c>
      <c r="B839">
        <v>40</v>
      </c>
      <c r="C839" t="s">
        <v>32</v>
      </c>
      <c r="D839" t="s">
        <v>13</v>
      </c>
      <c r="E839" t="s">
        <v>20</v>
      </c>
      <c r="F839" t="s">
        <v>42</v>
      </c>
      <c r="G839">
        <v>90311</v>
      </c>
      <c r="H839">
        <v>15</v>
      </c>
      <c r="I839">
        <v>59</v>
      </c>
      <c r="J839">
        <v>1</v>
      </c>
      <c r="K839">
        <v>8</v>
      </c>
      <c r="L839" s="1">
        <v>43749</v>
      </c>
      <c r="M839" s="1" t="s">
        <v>9</v>
      </c>
    </row>
    <row r="840" spans="1:13" x14ac:dyDescent="0.25">
      <c r="A840">
        <v>1839</v>
      </c>
      <c r="B840">
        <v>48</v>
      </c>
      <c r="C840" t="s">
        <v>31</v>
      </c>
      <c r="D840" t="s">
        <v>23</v>
      </c>
      <c r="E840" t="s">
        <v>28</v>
      </c>
      <c r="F840" t="s">
        <v>17</v>
      </c>
      <c r="G840">
        <v>49412</v>
      </c>
      <c r="H840">
        <v>18</v>
      </c>
      <c r="I840">
        <v>18</v>
      </c>
      <c r="J840" t="s">
        <v>9</v>
      </c>
      <c r="K840">
        <v>8</v>
      </c>
      <c r="L840" s="1">
        <v>43299</v>
      </c>
      <c r="M840" s="1" t="s">
        <v>9</v>
      </c>
    </row>
    <row r="841" spans="1:13" x14ac:dyDescent="0.25">
      <c r="A841">
        <v>1840</v>
      </c>
      <c r="B841">
        <v>59</v>
      </c>
      <c r="C841" t="s">
        <v>43</v>
      </c>
      <c r="D841" t="s">
        <v>19</v>
      </c>
      <c r="E841" t="s">
        <v>34</v>
      </c>
      <c r="F841" t="s">
        <v>24</v>
      </c>
      <c r="G841">
        <v>83891</v>
      </c>
      <c r="H841">
        <v>12</v>
      </c>
      <c r="I841">
        <v>24</v>
      </c>
      <c r="J841">
        <v>3</v>
      </c>
      <c r="K841">
        <v>1</v>
      </c>
      <c r="L841" s="1">
        <v>42812</v>
      </c>
      <c r="M841" s="1" t="s">
        <v>9</v>
      </c>
    </row>
    <row r="842" spans="1:13" x14ac:dyDescent="0.25">
      <c r="A842">
        <v>1841</v>
      </c>
      <c r="B842">
        <v>25</v>
      </c>
      <c r="C842" t="s">
        <v>32</v>
      </c>
      <c r="D842" t="s">
        <v>27</v>
      </c>
      <c r="E842" t="s">
        <v>14</v>
      </c>
      <c r="F842" t="s">
        <v>44</v>
      </c>
      <c r="G842">
        <v>56332</v>
      </c>
      <c r="H842">
        <v>5</v>
      </c>
      <c r="I842">
        <v>9</v>
      </c>
      <c r="J842">
        <v>3</v>
      </c>
      <c r="K842">
        <v>2</v>
      </c>
      <c r="L842" s="1">
        <v>44089</v>
      </c>
      <c r="M842" s="1" t="s">
        <v>9</v>
      </c>
    </row>
    <row r="843" spans="1:13" x14ac:dyDescent="0.25">
      <c r="A843">
        <v>1842</v>
      </c>
      <c r="B843">
        <v>40</v>
      </c>
      <c r="C843" t="s">
        <v>31</v>
      </c>
      <c r="D843" t="s">
        <v>16</v>
      </c>
      <c r="E843" t="s">
        <v>41</v>
      </c>
      <c r="F843" t="s">
        <v>26</v>
      </c>
      <c r="G843">
        <v>87698</v>
      </c>
      <c r="H843">
        <v>9</v>
      </c>
      <c r="I843">
        <v>24</v>
      </c>
      <c r="J843">
        <v>1</v>
      </c>
      <c r="K843">
        <v>6</v>
      </c>
      <c r="L843" s="1">
        <v>43771</v>
      </c>
      <c r="M843" s="1" t="s">
        <v>9</v>
      </c>
    </row>
    <row r="844" spans="1:13" x14ac:dyDescent="0.25">
      <c r="A844">
        <v>1843</v>
      </c>
      <c r="B844">
        <v>53</v>
      </c>
      <c r="C844" t="s">
        <v>31</v>
      </c>
      <c r="D844" t="s">
        <v>13</v>
      </c>
      <c r="E844" t="s">
        <v>12</v>
      </c>
      <c r="F844" t="s">
        <v>17</v>
      </c>
      <c r="G844">
        <v>81303</v>
      </c>
      <c r="H844">
        <v>1</v>
      </c>
      <c r="I844">
        <v>31</v>
      </c>
      <c r="J844">
        <v>4</v>
      </c>
      <c r="K844">
        <v>3</v>
      </c>
      <c r="L844" s="1">
        <v>44735</v>
      </c>
      <c r="M844" s="1">
        <v>45243</v>
      </c>
    </row>
    <row r="845" spans="1:13" x14ac:dyDescent="0.25">
      <c r="A845">
        <v>1844</v>
      </c>
      <c r="B845">
        <v>33</v>
      </c>
      <c r="C845" t="s">
        <v>31</v>
      </c>
      <c r="D845" t="s">
        <v>19</v>
      </c>
      <c r="E845" t="s">
        <v>12</v>
      </c>
      <c r="F845" t="s">
        <v>42</v>
      </c>
      <c r="G845">
        <v>83368</v>
      </c>
      <c r="H845">
        <v>28</v>
      </c>
      <c r="I845">
        <v>19</v>
      </c>
      <c r="J845">
        <v>2</v>
      </c>
      <c r="K845">
        <v>7</v>
      </c>
      <c r="L845" s="1">
        <v>43600</v>
      </c>
      <c r="M845" s="1" t="s">
        <v>9</v>
      </c>
    </row>
    <row r="846" spans="1:13" x14ac:dyDescent="0.25">
      <c r="A846">
        <v>1845</v>
      </c>
      <c r="B846">
        <v>41</v>
      </c>
      <c r="C846" t="s">
        <v>31</v>
      </c>
      <c r="D846" t="s">
        <v>23</v>
      </c>
      <c r="E846" t="s">
        <v>20</v>
      </c>
      <c r="F846" t="s">
        <v>26</v>
      </c>
      <c r="G846">
        <v>106399</v>
      </c>
      <c r="H846">
        <v>10</v>
      </c>
      <c r="I846">
        <v>10</v>
      </c>
      <c r="J846">
        <v>5</v>
      </c>
      <c r="K846">
        <v>5</v>
      </c>
      <c r="L846" s="1">
        <v>44127</v>
      </c>
      <c r="M846" s="1" t="s">
        <v>9</v>
      </c>
    </row>
    <row r="847" spans="1:13" x14ac:dyDescent="0.25">
      <c r="A847">
        <v>1846</v>
      </c>
      <c r="B847">
        <v>33</v>
      </c>
      <c r="C847" t="s">
        <v>37</v>
      </c>
      <c r="D847" t="s">
        <v>13</v>
      </c>
      <c r="E847" t="s">
        <v>20</v>
      </c>
      <c r="F847" t="s">
        <v>24</v>
      </c>
      <c r="G847">
        <v>91416</v>
      </c>
      <c r="H847">
        <v>6</v>
      </c>
      <c r="I847">
        <v>31</v>
      </c>
      <c r="J847">
        <v>3</v>
      </c>
      <c r="K847">
        <v>5</v>
      </c>
      <c r="L847" s="1">
        <v>42208</v>
      </c>
      <c r="M847" s="1" t="s">
        <v>9</v>
      </c>
    </row>
    <row r="848" spans="1:13" x14ac:dyDescent="0.25">
      <c r="A848">
        <v>1847</v>
      </c>
      <c r="B848">
        <v>59</v>
      </c>
      <c r="C848" t="s">
        <v>43</v>
      </c>
      <c r="D848" t="s">
        <v>19</v>
      </c>
      <c r="E848" t="s">
        <v>12</v>
      </c>
      <c r="F848" t="s">
        <v>21</v>
      </c>
      <c r="G848">
        <v>63818</v>
      </c>
      <c r="H848">
        <v>24</v>
      </c>
      <c r="I848">
        <v>6</v>
      </c>
      <c r="J848" t="s">
        <v>9</v>
      </c>
      <c r="K848">
        <v>5</v>
      </c>
      <c r="L848" s="1">
        <v>44963</v>
      </c>
      <c r="M848" s="1">
        <v>42528</v>
      </c>
    </row>
    <row r="849" spans="1:13" x14ac:dyDescent="0.25">
      <c r="A849">
        <v>1848</v>
      </c>
      <c r="B849">
        <v>54</v>
      </c>
      <c r="C849" t="s">
        <v>32</v>
      </c>
      <c r="D849" t="s">
        <v>23</v>
      </c>
      <c r="E849" t="s">
        <v>34</v>
      </c>
      <c r="F849" t="s">
        <v>15</v>
      </c>
      <c r="G849">
        <v>56688</v>
      </c>
      <c r="H849">
        <v>18</v>
      </c>
      <c r="I849">
        <v>24</v>
      </c>
      <c r="J849" t="s">
        <v>9</v>
      </c>
      <c r="K849">
        <v>7</v>
      </c>
      <c r="L849" s="1">
        <v>45292</v>
      </c>
      <c r="M849" s="1">
        <v>43760</v>
      </c>
    </row>
    <row r="850" spans="1:13" x14ac:dyDescent="0.25">
      <c r="A850">
        <v>1849</v>
      </c>
      <c r="B850">
        <v>26</v>
      </c>
      <c r="C850" t="s">
        <v>31</v>
      </c>
      <c r="D850" t="s">
        <v>22</v>
      </c>
      <c r="E850" t="s">
        <v>12</v>
      </c>
      <c r="F850" t="s">
        <v>17</v>
      </c>
      <c r="G850">
        <v>109947</v>
      </c>
      <c r="H850">
        <v>20</v>
      </c>
      <c r="I850">
        <v>42</v>
      </c>
      <c r="J850">
        <v>2</v>
      </c>
      <c r="K850">
        <v>9</v>
      </c>
      <c r="L850" s="1">
        <v>44061</v>
      </c>
      <c r="M850" s="1">
        <v>42826</v>
      </c>
    </row>
    <row r="851" spans="1:13" x14ac:dyDescent="0.25">
      <c r="A851">
        <v>1850</v>
      </c>
      <c r="B851">
        <v>33</v>
      </c>
      <c r="C851" t="s">
        <v>31</v>
      </c>
      <c r="D851" t="s">
        <v>19</v>
      </c>
      <c r="E851" t="s">
        <v>20</v>
      </c>
      <c r="F851" t="s">
        <v>26</v>
      </c>
      <c r="G851">
        <v>53126</v>
      </c>
      <c r="H851">
        <v>16</v>
      </c>
      <c r="I851">
        <v>13</v>
      </c>
      <c r="J851" t="s">
        <v>9</v>
      </c>
      <c r="K851">
        <v>5</v>
      </c>
      <c r="L851" s="1">
        <v>45298</v>
      </c>
      <c r="M851" s="1" t="s">
        <v>9</v>
      </c>
    </row>
    <row r="852" spans="1:13" x14ac:dyDescent="0.25">
      <c r="A852">
        <v>1851</v>
      </c>
      <c r="B852">
        <v>28</v>
      </c>
      <c r="C852" t="s">
        <v>32</v>
      </c>
      <c r="D852" t="s">
        <v>27</v>
      </c>
      <c r="E852" t="s">
        <v>20</v>
      </c>
      <c r="F852" t="s">
        <v>26</v>
      </c>
      <c r="G852">
        <v>50836</v>
      </c>
      <c r="H852">
        <v>26</v>
      </c>
      <c r="I852">
        <v>29</v>
      </c>
      <c r="J852" t="s">
        <v>9</v>
      </c>
      <c r="K852">
        <v>1</v>
      </c>
      <c r="L852" s="1">
        <v>44272</v>
      </c>
      <c r="M852" s="1" t="s">
        <v>9</v>
      </c>
    </row>
    <row r="853" spans="1:13" x14ac:dyDescent="0.25">
      <c r="A853">
        <v>1852</v>
      </c>
      <c r="B853">
        <v>34</v>
      </c>
      <c r="C853" t="s">
        <v>32</v>
      </c>
      <c r="D853" t="s">
        <v>22</v>
      </c>
      <c r="E853" t="s">
        <v>12</v>
      </c>
      <c r="F853" t="s">
        <v>44</v>
      </c>
      <c r="G853">
        <v>105293</v>
      </c>
      <c r="H853">
        <v>1</v>
      </c>
      <c r="I853">
        <v>8</v>
      </c>
      <c r="J853">
        <v>1</v>
      </c>
      <c r="K853">
        <v>8</v>
      </c>
      <c r="L853" s="1">
        <v>43971</v>
      </c>
      <c r="M853" s="1">
        <v>43884</v>
      </c>
    </row>
    <row r="854" spans="1:13" x14ac:dyDescent="0.25">
      <c r="A854">
        <v>1853</v>
      </c>
      <c r="B854">
        <v>24</v>
      </c>
      <c r="C854" t="s">
        <v>32</v>
      </c>
      <c r="D854" t="s">
        <v>16</v>
      </c>
      <c r="E854" t="s">
        <v>12</v>
      </c>
      <c r="F854" t="s">
        <v>40</v>
      </c>
      <c r="G854">
        <v>99020</v>
      </c>
      <c r="H854">
        <v>1</v>
      </c>
      <c r="I854">
        <v>46</v>
      </c>
      <c r="J854">
        <v>3</v>
      </c>
      <c r="K854">
        <v>3</v>
      </c>
      <c r="L854" s="1">
        <v>42808</v>
      </c>
      <c r="M854" s="1">
        <v>44564</v>
      </c>
    </row>
    <row r="855" spans="1:13" x14ac:dyDescent="0.25">
      <c r="A855">
        <v>1854</v>
      </c>
      <c r="B855">
        <v>41</v>
      </c>
      <c r="C855" t="s">
        <v>31</v>
      </c>
      <c r="D855" t="s">
        <v>13</v>
      </c>
      <c r="E855" t="s">
        <v>14</v>
      </c>
      <c r="F855" t="s">
        <v>26</v>
      </c>
      <c r="G855">
        <v>59011</v>
      </c>
      <c r="H855">
        <v>19</v>
      </c>
      <c r="I855">
        <v>0</v>
      </c>
      <c r="J855">
        <v>5</v>
      </c>
      <c r="K855">
        <v>1</v>
      </c>
      <c r="L855" s="1">
        <v>43633</v>
      </c>
      <c r="M855" s="1" t="s">
        <v>9</v>
      </c>
    </row>
    <row r="856" spans="1:13" x14ac:dyDescent="0.25">
      <c r="A856">
        <v>1855</v>
      </c>
      <c r="B856">
        <v>47</v>
      </c>
      <c r="C856" t="s">
        <v>37</v>
      </c>
      <c r="D856" t="s">
        <v>36</v>
      </c>
      <c r="E856" t="s">
        <v>14</v>
      </c>
      <c r="F856" t="s">
        <v>44</v>
      </c>
      <c r="G856">
        <v>66503</v>
      </c>
      <c r="H856">
        <v>28</v>
      </c>
      <c r="I856">
        <v>40</v>
      </c>
      <c r="J856">
        <v>5</v>
      </c>
      <c r="K856">
        <v>3</v>
      </c>
      <c r="L856" s="1">
        <v>45155</v>
      </c>
      <c r="M856" s="1">
        <v>43772</v>
      </c>
    </row>
    <row r="857" spans="1:13" x14ac:dyDescent="0.25">
      <c r="A857">
        <v>1856</v>
      </c>
      <c r="B857">
        <v>32</v>
      </c>
      <c r="C857" t="s">
        <v>31</v>
      </c>
      <c r="D857" t="s">
        <v>13</v>
      </c>
      <c r="E857" t="s">
        <v>25</v>
      </c>
      <c r="F857" t="s">
        <v>24</v>
      </c>
      <c r="G857">
        <v>88866</v>
      </c>
      <c r="H857">
        <v>17</v>
      </c>
      <c r="I857">
        <v>28</v>
      </c>
      <c r="J857">
        <v>5</v>
      </c>
      <c r="K857">
        <v>8</v>
      </c>
      <c r="L857" s="1">
        <v>44261</v>
      </c>
      <c r="M857" s="1">
        <v>42578</v>
      </c>
    </row>
    <row r="858" spans="1:13" x14ac:dyDescent="0.25">
      <c r="A858">
        <v>1857</v>
      </c>
      <c r="B858">
        <v>24</v>
      </c>
      <c r="C858" t="s">
        <v>31</v>
      </c>
      <c r="D858" t="s">
        <v>23</v>
      </c>
      <c r="E858" t="s">
        <v>14</v>
      </c>
      <c r="F858" t="s">
        <v>26</v>
      </c>
      <c r="G858">
        <v>57172</v>
      </c>
      <c r="H858">
        <v>5</v>
      </c>
      <c r="I858">
        <v>8</v>
      </c>
      <c r="J858">
        <v>2</v>
      </c>
      <c r="K858">
        <v>8</v>
      </c>
      <c r="L858" s="1">
        <v>44981</v>
      </c>
      <c r="M858" s="1" t="s">
        <v>9</v>
      </c>
    </row>
    <row r="859" spans="1:13" x14ac:dyDescent="0.25">
      <c r="A859">
        <v>1858</v>
      </c>
      <c r="B859">
        <v>25</v>
      </c>
      <c r="C859" t="s">
        <v>33</v>
      </c>
      <c r="D859" t="s">
        <v>19</v>
      </c>
      <c r="E859" t="s">
        <v>12</v>
      </c>
      <c r="F859" t="s">
        <v>21</v>
      </c>
      <c r="G859">
        <v>100532</v>
      </c>
      <c r="H859">
        <v>2</v>
      </c>
      <c r="I859">
        <v>18</v>
      </c>
      <c r="J859" t="s">
        <v>9</v>
      </c>
      <c r="K859">
        <v>9</v>
      </c>
      <c r="L859" s="1">
        <v>45557</v>
      </c>
      <c r="M859" s="1" t="s">
        <v>9</v>
      </c>
    </row>
    <row r="860" spans="1:13" x14ac:dyDescent="0.25">
      <c r="A860">
        <v>1859</v>
      </c>
      <c r="B860">
        <v>45</v>
      </c>
      <c r="C860" t="s">
        <v>31</v>
      </c>
      <c r="D860" t="s">
        <v>22</v>
      </c>
      <c r="E860" t="s">
        <v>20</v>
      </c>
      <c r="F860" t="s">
        <v>17</v>
      </c>
      <c r="G860">
        <v>98031</v>
      </c>
      <c r="H860">
        <v>11</v>
      </c>
      <c r="I860">
        <v>41</v>
      </c>
      <c r="J860">
        <v>1</v>
      </c>
      <c r="K860">
        <v>2</v>
      </c>
      <c r="L860" s="1">
        <v>45466</v>
      </c>
      <c r="M860" s="1">
        <v>43352</v>
      </c>
    </row>
    <row r="861" spans="1:13" x14ac:dyDescent="0.25">
      <c r="A861">
        <v>1860</v>
      </c>
      <c r="B861">
        <v>56</v>
      </c>
      <c r="C861" t="s">
        <v>31</v>
      </c>
      <c r="D861" t="s">
        <v>19</v>
      </c>
      <c r="E861" t="s">
        <v>12</v>
      </c>
      <c r="F861" t="s">
        <v>29</v>
      </c>
      <c r="G861">
        <v>65822</v>
      </c>
      <c r="H861">
        <v>9</v>
      </c>
      <c r="I861">
        <v>56</v>
      </c>
      <c r="J861">
        <v>5</v>
      </c>
      <c r="K861">
        <v>7</v>
      </c>
      <c r="L861" s="1">
        <v>42595</v>
      </c>
      <c r="M861" s="1" t="s">
        <v>9</v>
      </c>
    </row>
    <row r="862" spans="1:13" x14ac:dyDescent="0.25">
      <c r="A862">
        <v>1861</v>
      </c>
      <c r="B862">
        <v>39</v>
      </c>
      <c r="C862" t="s">
        <v>31</v>
      </c>
      <c r="D862" t="s">
        <v>22</v>
      </c>
      <c r="E862" t="s">
        <v>25</v>
      </c>
      <c r="F862" t="s">
        <v>18</v>
      </c>
      <c r="G862">
        <v>78150</v>
      </c>
      <c r="H862">
        <v>22</v>
      </c>
      <c r="I862">
        <v>35</v>
      </c>
      <c r="J862">
        <v>5</v>
      </c>
      <c r="K862">
        <v>7</v>
      </c>
      <c r="L862" s="1">
        <v>43335</v>
      </c>
      <c r="M862" s="1" t="s">
        <v>9</v>
      </c>
    </row>
    <row r="863" spans="1:13" x14ac:dyDescent="0.25">
      <c r="A863">
        <v>1862</v>
      </c>
      <c r="B863">
        <v>48</v>
      </c>
      <c r="C863" t="s">
        <v>37</v>
      </c>
      <c r="D863" t="s">
        <v>38</v>
      </c>
      <c r="E863" t="s">
        <v>28</v>
      </c>
      <c r="F863" t="s">
        <v>21</v>
      </c>
      <c r="G863">
        <v>81427</v>
      </c>
      <c r="H863">
        <v>13</v>
      </c>
      <c r="I863">
        <v>2</v>
      </c>
      <c r="J863">
        <v>1</v>
      </c>
      <c r="K863">
        <v>1</v>
      </c>
      <c r="L863" s="1">
        <v>43999</v>
      </c>
      <c r="M863" s="1" t="s">
        <v>9</v>
      </c>
    </row>
    <row r="864" spans="1:13" x14ac:dyDescent="0.25">
      <c r="A864">
        <v>1863</v>
      </c>
      <c r="B864">
        <v>36</v>
      </c>
      <c r="C864" t="s">
        <v>31</v>
      </c>
      <c r="D864" t="s">
        <v>13</v>
      </c>
      <c r="E864" t="s">
        <v>14</v>
      </c>
      <c r="F864" t="s">
        <v>44</v>
      </c>
      <c r="G864">
        <v>101721</v>
      </c>
      <c r="H864">
        <v>15</v>
      </c>
      <c r="I864">
        <v>44</v>
      </c>
      <c r="J864">
        <v>1</v>
      </c>
      <c r="K864">
        <v>4</v>
      </c>
      <c r="L864" s="1">
        <v>45370</v>
      </c>
      <c r="M864" s="1" t="s">
        <v>9</v>
      </c>
    </row>
    <row r="865" spans="1:13" x14ac:dyDescent="0.25">
      <c r="A865">
        <v>1864</v>
      </c>
      <c r="B865">
        <v>41</v>
      </c>
      <c r="C865" t="s">
        <v>31</v>
      </c>
      <c r="D865" t="s">
        <v>27</v>
      </c>
      <c r="E865" t="s">
        <v>14</v>
      </c>
      <c r="F865" t="s">
        <v>21</v>
      </c>
      <c r="G865">
        <v>74249</v>
      </c>
      <c r="H865">
        <v>8</v>
      </c>
      <c r="I865">
        <v>43</v>
      </c>
      <c r="J865">
        <v>3</v>
      </c>
      <c r="K865">
        <v>8</v>
      </c>
      <c r="L865" s="1">
        <v>42299</v>
      </c>
      <c r="M865" s="1" t="s">
        <v>9</v>
      </c>
    </row>
    <row r="866" spans="1:13" x14ac:dyDescent="0.25">
      <c r="A866">
        <v>1865</v>
      </c>
      <c r="B866">
        <v>35</v>
      </c>
      <c r="C866" t="s">
        <v>32</v>
      </c>
      <c r="D866" t="s">
        <v>19</v>
      </c>
      <c r="E866" t="s">
        <v>12</v>
      </c>
      <c r="F866" t="s">
        <v>26</v>
      </c>
      <c r="G866">
        <v>77938</v>
      </c>
      <c r="H866">
        <v>9</v>
      </c>
      <c r="I866">
        <v>35</v>
      </c>
      <c r="J866" t="s">
        <v>9</v>
      </c>
      <c r="K866">
        <v>9</v>
      </c>
      <c r="L866" s="1">
        <v>44952</v>
      </c>
      <c r="M866" s="1" t="s">
        <v>9</v>
      </c>
    </row>
    <row r="867" spans="1:13" x14ac:dyDescent="0.25">
      <c r="A867">
        <v>1866</v>
      </c>
      <c r="B867">
        <v>34</v>
      </c>
      <c r="C867" t="s">
        <v>31</v>
      </c>
      <c r="D867" t="s">
        <v>36</v>
      </c>
      <c r="E867" t="s">
        <v>12</v>
      </c>
      <c r="F867" t="s">
        <v>26</v>
      </c>
      <c r="G867">
        <v>59470</v>
      </c>
      <c r="H867">
        <v>15</v>
      </c>
      <c r="I867">
        <v>11</v>
      </c>
      <c r="J867">
        <v>5</v>
      </c>
      <c r="K867">
        <v>6</v>
      </c>
      <c r="L867" s="1">
        <v>43108</v>
      </c>
      <c r="M867" s="1" t="s">
        <v>9</v>
      </c>
    </row>
    <row r="868" spans="1:13" x14ac:dyDescent="0.25">
      <c r="A868">
        <v>1867</v>
      </c>
      <c r="B868">
        <v>30</v>
      </c>
      <c r="C868" t="s">
        <v>37</v>
      </c>
      <c r="D868" t="s">
        <v>22</v>
      </c>
      <c r="E868" t="s">
        <v>41</v>
      </c>
      <c r="F868" t="s">
        <v>24</v>
      </c>
      <c r="G868">
        <v>57354</v>
      </c>
      <c r="H868">
        <v>13</v>
      </c>
      <c r="I868">
        <v>34</v>
      </c>
      <c r="J868">
        <v>4</v>
      </c>
      <c r="K868">
        <v>2</v>
      </c>
      <c r="L868" s="1">
        <v>42156</v>
      </c>
      <c r="M868" s="1" t="s">
        <v>9</v>
      </c>
    </row>
    <row r="869" spans="1:13" x14ac:dyDescent="0.25">
      <c r="A869">
        <v>1868</v>
      </c>
      <c r="B869">
        <v>49</v>
      </c>
      <c r="C869" t="s">
        <v>43</v>
      </c>
      <c r="D869" t="s">
        <v>35</v>
      </c>
      <c r="E869" t="s">
        <v>14</v>
      </c>
      <c r="F869" t="s">
        <v>18</v>
      </c>
      <c r="G869">
        <v>61513</v>
      </c>
      <c r="H869">
        <v>29</v>
      </c>
      <c r="I869">
        <v>56</v>
      </c>
      <c r="J869">
        <v>3</v>
      </c>
      <c r="K869">
        <v>6</v>
      </c>
      <c r="L869" s="1">
        <v>44428</v>
      </c>
      <c r="M869" s="1" t="s">
        <v>9</v>
      </c>
    </row>
    <row r="870" spans="1:13" x14ac:dyDescent="0.25">
      <c r="A870">
        <v>1869</v>
      </c>
      <c r="B870">
        <v>39</v>
      </c>
      <c r="C870" t="s">
        <v>31</v>
      </c>
      <c r="D870" t="s">
        <v>38</v>
      </c>
      <c r="E870" t="s">
        <v>28</v>
      </c>
      <c r="F870" t="s">
        <v>17</v>
      </c>
      <c r="G870">
        <v>73181</v>
      </c>
      <c r="H870">
        <v>11</v>
      </c>
      <c r="I870">
        <v>33</v>
      </c>
      <c r="J870">
        <v>3</v>
      </c>
      <c r="K870">
        <v>7</v>
      </c>
      <c r="L870" s="1">
        <v>45133</v>
      </c>
      <c r="M870" s="1" t="s">
        <v>9</v>
      </c>
    </row>
    <row r="871" spans="1:13" x14ac:dyDescent="0.25">
      <c r="A871">
        <v>1870</v>
      </c>
      <c r="B871">
        <v>26</v>
      </c>
      <c r="C871" t="s">
        <v>31</v>
      </c>
      <c r="D871" t="s">
        <v>19</v>
      </c>
      <c r="E871" t="s">
        <v>12</v>
      </c>
      <c r="F871" t="s">
        <v>15</v>
      </c>
      <c r="G871">
        <v>89769</v>
      </c>
      <c r="H871">
        <v>7</v>
      </c>
      <c r="I871">
        <v>16</v>
      </c>
      <c r="J871">
        <v>3</v>
      </c>
      <c r="K871">
        <v>8</v>
      </c>
      <c r="L871" s="1">
        <v>44211</v>
      </c>
      <c r="M871" s="1" t="s">
        <v>9</v>
      </c>
    </row>
    <row r="872" spans="1:13" x14ac:dyDescent="0.25">
      <c r="A872">
        <v>1871</v>
      </c>
      <c r="B872">
        <v>39</v>
      </c>
      <c r="C872" t="s">
        <v>37</v>
      </c>
      <c r="D872" t="s">
        <v>35</v>
      </c>
      <c r="E872" t="s">
        <v>14</v>
      </c>
      <c r="F872" t="s">
        <v>26</v>
      </c>
      <c r="G872">
        <v>66096</v>
      </c>
      <c r="H872">
        <v>8</v>
      </c>
      <c r="I872">
        <v>9</v>
      </c>
      <c r="J872">
        <v>3</v>
      </c>
      <c r="K872">
        <v>4</v>
      </c>
      <c r="L872" s="1">
        <v>43695</v>
      </c>
      <c r="M872" s="1" t="s">
        <v>9</v>
      </c>
    </row>
    <row r="873" spans="1:13" x14ac:dyDescent="0.25">
      <c r="A873">
        <v>1872</v>
      </c>
      <c r="B873">
        <v>46</v>
      </c>
      <c r="C873" t="s">
        <v>32</v>
      </c>
      <c r="D873" t="s">
        <v>19</v>
      </c>
      <c r="E873" t="s">
        <v>20</v>
      </c>
      <c r="F873" t="s">
        <v>18</v>
      </c>
      <c r="G873">
        <v>61448</v>
      </c>
      <c r="H873">
        <v>18</v>
      </c>
      <c r="I873">
        <v>59</v>
      </c>
      <c r="J873" t="s">
        <v>9</v>
      </c>
      <c r="K873">
        <v>7</v>
      </c>
      <c r="L873" s="1">
        <v>45304</v>
      </c>
      <c r="M873" s="1" t="s">
        <v>9</v>
      </c>
    </row>
    <row r="874" spans="1:13" x14ac:dyDescent="0.25">
      <c r="A874">
        <v>1873</v>
      </c>
      <c r="B874">
        <v>49</v>
      </c>
      <c r="C874" t="s">
        <v>31</v>
      </c>
      <c r="D874" t="s">
        <v>36</v>
      </c>
      <c r="E874" t="s">
        <v>20</v>
      </c>
      <c r="F874" t="s">
        <v>15</v>
      </c>
      <c r="G874">
        <v>51633</v>
      </c>
      <c r="H874">
        <v>14</v>
      </c>
      <c r="I874">
        <v>39</v>
      </c>
      <c r="J874">
        <v>2</v>
      </c>
      <c r="K874">
        <v>2</v>
      </c>
      <c r="L874" s="1">
        <v>43926</v>
      </c>
      <c r="M874" s="1">
        <v>44443</v>
      </c>
    </row>
    <row r="875" spans="1:13" x14ac:dyDescent="0.25">
      <c r="A875">
        <v>1874</v>
      </c>
      <c r="B875">
        <v>51</v>
      </c>
      <c r="C875" t="s">
        <v>31</v>
      </c>
      <c r="D875" t="s">
        <v>22</v>
      </c>
      <c r="E875" t="s">
        <v>25</v>
      </c>
      <c r="F875" t="s">
        <v>42</v>
      </c>
      <c r="G875">
        <v>95200</v>
      </c>
      <c r="H875">
        <v>10</v>
      </c>
      <c r="I875">
        <v>26</v>
      </c>
      <c r="J875">
        <v>1</v>
      </c>
      <c r="K875">
        <v>6</v>
      </c>
      <c r="L875" s="1">
        <v>44485</v>
      </c>
      <c r="M875" s="1">
        <v>44380</v>
      </c>
    </row>
    <row r="876" spans="1:13" x14ac:dyDescent="0.25">
      <c r="A876">
        <v>1875</v>
      </c>
      <c r="B876">
        <v>25</v>
      </c>
      <c r="C876" t="s">
        <v>32</v>
      </c>
      <c r="D876" t="s">
        <v>16</v>
      </c>
      <c r="E876" t="s">
        <v>25</v>
      </c>
      <c r="F876" t="s">
        <v>26</v>
      </c>
      <c r="G876">
        <v>89951</v>
      </c>
      <c r="H876">
        <v>4</v>
      </c>
      <c r="I876">
        <v>31</v>
      </c>
      <c r="J876">
        <v>4</v>
      </c>
      <c r="K876">
        <v>5</v>
      </c>
      <c r="L876" s="1">
        <v>42055</v>
      </c>
      <c r="M876" s="1" t="s">
        <v>9</v>
      </c>
    </row>
    <row r="877" spans="1:13" x14ac:dyDescent="0.25">
      <c r="A877">
        <v>1876</v>
      </c>
      <c r="B877">
        <v>56</v>
      </c>
      <c r="C877" t="s">
        <v>31</v>
      </c>
      <c r="D877" t="s">
        <v>19</v>
      </c>
      <c r="E877" t="s">
        <v>14</v>
      </c>
      <c r="F877" t="s">
        <v>29</v>
      </c>
      <c r="G877">
        <v>60414</v>
      </c>
      <c r="H877">
        <v>29</v>
      </c>
      <c r="I877">
        <v>9</v>
      </c>
      <c r="J877">
        <v>2</v>
      </c>
      <c r="K877">
        <v>4</v>
      </c>
      <c r="L877" s="1">
        <v>42883</v>
      </c>
      <c r="M877" s="1">
        <v>44489</v>
      </c>
    </row>
    <row r="878" spans="1:13" x14ac:dyDescent="0.25">
      <c r="A878">
        <v>1877</v>
      </c>
      <c r="B878">
        <v>57</v>
      </c>
      <c r="C878" t="s">
        <v>33</v>
      </c>
      <c r="D878" t="s">
        <v>19</v>
      </c>
      <c r="E878" t="s">
        <v>20</v>
      </c>
      <c r="F878" t="s">
        <v>40</v>
      </c>
      <c r="G878">
        <v>83553</v>
      </c>
      <c r="H878">
        <v>11</v>
      </c>
      <c r="I878">
        <v>33</v>
      </c>
      <c r="J878" t="s">
        <v>9</v>
      </c>
      <c r="K878">
        <v>3</v>
      </c>
      <c r="L878" s="1">
        <v>43932</v>
      </c>
      <c r="M878" s="1" t="s">
        <v>9</v>
      </c>
    </row>
    <row r="879" spans="1:13" x14ac:dyDescent="0.25">
      <c r="A879">
        <v>1878</v>
      </c>
      <c r="B879">
        <v>32</v>
      </c>
      <c r="C879" t="s">
        <v>31</v>
      </c>
      <c r="D879" t="s">
        <v>16</v>
      </c>
      <c r="E879" t="s">
        <v>12</v>
      </c>
      <c r="F879" t="s">
        <v>26</v>
      </c>
      <c r="G879">
        <v>81713</v>
      </c>
      <c r="H879">
        <v>18</v>
      </c>
      <c r="I879">
        <v>4</v>
      </c>
      <c r="J879">
        <v>1</v>
      </c>
      <c r="K879">
        <v>1</v>
      </c>
      <c r="L879" s="1">
        <v>45610</v>
      </c>
      <c r="M879" s="1">
        <v>43812</v>
      </c>
    </row>
    <row r="880" spans="1:13" x14ac:dyDescent="0.25">
      <c r="A880">
        <v>1879</v>
      </c>
      <c r="B880">
        <v>33</v>
      </c>
      <c r="C880" t="s">
        <v>31</v>
      </c>
      <c r="D880" t="s">
        <v>13</v>
      </c>
      <c r="E880" t="s">
        <v>39</v>
      </c>
      <c r="F880" t="s">
        <v>15</v>
      </c>
      <c r="G880">
        <v>102676</v>
      </c>
      <c r="H880">
        <v>10</v>
      </c>
      <c r="I880">
        <v>24</v>
      </c>
      <c r="J880" t="s">
        <v>9</v>
      </c>
      <c r="K880">
        <v>6</v>
      </c>
      <c r="L880" s="1">
        <v>45337</v>
      </c>
      <c r="M880" s="1" t="s">
        <v>9</v>
      </c>
    </row>
    <row r="881" spans="1:13" x14ac:dyDescent="0.25">
      <c r="A881">
        <v>1880</v>
      </c>
      <c r="B881">
        <v>53</v>
      </c>
      <c r="C881" t="s">
        <v>32</v>
      </c>
      <c r="D881" t="s">
        <v>19</v>
      </c>
      <c r="E881" t="s">
        <v>25</v>
      </c>
      <c r="F881" t="s">
        <v>15</v>
      </c>
      <c r="G881">
        <v>94272</v>
      </c>
      <c r="H881">
        <v>30</v>
      </c>
      <c r="I881">
        <v>22</v>
      </c>
      <c r="J881">
        <v>3</v>
      </c>
      <c r="K881">
        <v>7</v>
      </c>
      <c r="L881" s="1">
        <v>43560</v>
      </c>
      <c r="M881" s="1" t="s">
        <v>9</v>
      </c>
    </row>
    <row r="882" spans="1:13" x14ac:dyDescent="0.25">
      <c r="A882">
        <v>1881</v>
      </c>
      <c r="B882">
        <v>25</v>
      </c>
      <c r="C882" t="s">
        <v>31</v>
      </c>
      <c r="D882" t="s">
        <v>23</v>
      </c>
      <c r="E882" t="s">
        <v>14</v>
      </c>
      <c r="F882" t="s">
        <v>26</v>
      </c>
      <c r="G882">
        <v>58804</v>
      </c>
      <c r="H882">
        <v>1</v>
      </c>
      <c r="I882">
        <v>55</v>
      </c>
      <c r="J882">
        <v>2</v>
      </c>
      <c r="K882">
        <v>6</v>
      </c>
      <c r="L882" s="1">
        <v>45028</v>
      </c>
      <c r="M882" s="1">
        <v>44361</v>
      </c>
    </row>
    <row r="883" spans="1:13" x14ac:dyDescent="0.25">
      <c r="A883">
        <v>1882</v>
      </c>
      <c r="B883">
        <v>22</v>
      </c>
      <c r="C883" t="s">
        <v>31</v>
      </c>
      <c r="D883" t="s">
        <v>23</v>
      </c>
      <c r="E883" t="s">
        <v>28</v>
      </c>
      <c r="F883" t="s">
        <v>24</v>
      </c>
      <c r="G883">
        <v>99695</v>
      </c>
      <c r="H883">
        <v>29</v>
      </c>
      <c r="I883">
        <v>5</v>
      </c>
      <c r="J883" t="s">
        <v>9</v>
      </c>
      <c r="K883">
        <v>1</v>
      </c>
      <c r="L883" s="1">
        <v>42315</v>
      </c>
      <c r="M883" s="1" t="s">
        <v>9</v>
      </c>
    </row>
    <row r="884" spans="1:13" x14ac:dyDescent="0.25">
      <c r="A884">
        <v>1883</v>
      </c>
      <c r="B884">
        <v>40</v>
      </c>
      <c r="C884" t="s">
        <v>31</v>
      </c>
      <c r="D884" t="s">
        <v>13</v>
      </c>
      <c r="E884" t="s">
        <v>39</v>
      </c>
      <c r="F884" t="s">
        <v>18</v>
      </c>
      <c r="G884">
        <v>56743</v>
      </c>
      <c r="H884">
        <v>20</v>
      </c>
      <c r="I884">
        <v>57</v>
      </c>
      <c r="J884">
        <v>4</v>
      </c>
      <c r="K884">
        <v>9</v>
      </c>
      <c r="L884" s="1">
        <v>43699</v>
      </c>
      <c r="M884" s="1">
        <v>43347</v>
      </c>
    </row>
    <row r="885" spans="1:13" x14ac:dyDescent="0.25">
      <c r="A885">
        <v>1884</v>
      </c>
      <c r="B885">
        <v>43</v>
      </c>
      <c r="C885" t="s">
        <v>32</v>
      </c>
      <c r="D885" t="s">
        <v>22</v>
      </c>
      <c r="E885" t="s">
        <v>25</v>
      </c>
      <c r="F885" t="s">
        <v>17</v>
      </c>
      <c r="G885">
        <v>103161</v>
      </c>
      <c r="H885">
        <v>3</v>
      </c>
      <c r="I885">
        <v>42</v>
      </c>
      <c r="J885">
        <v>5</v>
      </c>
      <c r="K885">
        <v>3</v>
      </c>
      <c r="L885" s="1">
        <v>44065</v>
      </c>
      <c r="M885" s="1" t="s">
        <v>9</v>
      </c>
    </row>
    <row r="886" spans="1:13" x14ac:dyDescent="0.25">
      <c r="A886">
        <v>1885</v>
      </c>
      <c r="B886">
        <v>56</v>
      </c>
      <c r="C886" t="s">
        <v>31</v>
      </c>
      <c r="D886" t="s">
        <v>22</v>
      </c>
      <c r="E886" t="s">
        <v>12</v>
      </c>
      <c r="F886" t="s">
        <v>29</v>
      </c>
      <c r="G886">
        <v>71029</v>
      </c>
      <c r="H886">
        <v>14</v>
      </c>
      <c r="I886">
        <v>0</v>
      </c>
      <c r="J886">
        <v>2</v>
      </c>
      <c r="K886">
        <v>6</v>
      </c>
      <c r="L886" s="1">
        <v>44477</v>
      </c>
      <c r="M886" s="1" t="s">
        <v>9</v>
      </c>
    </row>
    <row r="887" spans="1:13" x14ac:dyDescent="0.25">
      <c r="A887">
        <v>1886</v>
      </c>
      <c r="B887">
        <v>60</v>
      </c>
      <c r="C887" t="s">
        <v>32</v>
      </c>
      <c r="D887" t="s">
        <v>38</v>
      </c>
      <c r="E887" t="s">
        <v>39</v>
      </c>
      <c r="F887" t="s">
        <v>42</v>
      </c>
      <c r="G887">
        <v>94909</v>
      </c>
      <c r="H887">
        <v>9</v>
      </c>
      <c r="I887">
        <v>0</v>
      </c>
      <c r="J887">
        <v>4</v>
      </c>
      <c r="K887">
        <v>8</v>
      </c>
      <c r="L887" s="1">
        <v>42545</v>
      </c>
      <c r="M887" s="1">
        <v>43874</v>
      </c>
    </row>
    <row r="888" spans="1:13" x14ac:dyDescent="0.25">
      <c r="A888">
        <v>1887</v>
      </c>
      <c r="B888">
        <v>36</v>
      </c>
      <c r="C888" t="s">
        <v>32</v>
      </c>
      <c r="D888" t="s">
        <v>16</v>
      </c>
      <c r="E888" t="s">
        <v>20</v>
      </c>
      <c r="F888" t="s">
        <v>15</v>
      </c>
      <c r="G888">
        <v>68648</v>
      </c>
      <c r="H888">
        <v>15</v>
      </c>
      <c r="I888">
        <v>6</v>
      </c>
      <c r="J888">
        <v>2</v>
      </c>
      <c r="K888">
        <v>4</v>
      </c>
      <c r="L888" s="1">
        <v>45048</v>
      </c>
      <c r="M888" s="1" t="s">
        <v>9</v>
      </c>
    </row>
    <row r="889" spans="1:13" x14ac:dyDescent="0.25">
      <c r="A889">
        <v>1888</v>
      </c>
      <c r="B889">
        <v>34</v>
      </c>
      <c r="C889" t="s">
        <v>31</v>
      </c>
      <c r="D889" t="s">
        <v>16</v>
      </c>
      <c r="E889" t="s">
        <v>25</v>
      </c>
      <c r="F889" t="s">
        <v>21</v>
      </c>
      <c r="G889">
        <v>57753</v>
      </c>
      <c r="H889">
        <v>20</v>
      </c>
      <c r="I889">
        <v>28</v>
      </c>
      <c r="J889">
        <v>5</v>
      </c>
      <c r="K889">
        <v>3</v>
      </c>
      <c r="L889" s="1">
        <v>43269</v>
      </c>
      <c r="M889" s="1" t="s">
        <v>9</v>
      </c>
    </row>
    <row r="890" spans="1:13" x14ac:dyDescent="0.25">
      <c r="A890">
        <v>1889</v>
      </c>
      <c r="B890">
        <v>23</v>
      </c>
      <c r="C890" t="s">
        <v>32</v>
      </c>
      <c r="D890" t="s">
        <v>16</v>
      </c>
      <c r="E890" t="s">
        <v>41</v>
      </c>
      <c r="F890" t="s">
        <v>29</v>
      </c>
      <c r="G890">
        <v>84214</v>
      </c>
      <c r="H890">
        <v>7</v>
      </c>
      <c r="I890">
        <v>39</v>
      </c>
      <c r="J890">
        <v>3</v>
      </c>
      <c r="K890">
        <v>3</v>
      </c>
      <c r="L890" s="1">
        <v>42070</v>
      </c>
      <c r="M890" s="1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2061B-6350-4A1F-AFB4-C4DD743DC5E1}">
  <dimension ref="A1:N890"/>
  <sheetViews>
    <sheetView zoomScale="86" zoomScaleNormal="53" workbookViewId="0">
      <selection activeCell="A890" sqref="A890:N890"/>
    </sheetView>
  </sheetViews>
  <sheetFormatPr defaultRowHeight="15" x14ac:dyDescent="0.25"/>
  <cols>
    <col min="1" max="1" width="14.7109375" bestFit="1" customWidth="1"/>
    <col min="2" max="2" width="6.5703125" bestFit="1" customWidth="1"/>
    <col min="3" max="3" width="10" bestFit="1" customWidth="1"/>
    <col min="4" max="4" width="14.140625" bestFit="1" customWidth="1"/>
    <col min="5" max="5" width="13.5703125" bestFit="1" customWidth="1"/>
    <col min="6" max="6" width="14.5703125" bestFit="1" customWidth="1"/>
    <col min="7" max="7" width="8.7109375" bestFit="1" customWidth="1"/>
    <col min="8" max="8" width="12" bestFit="1" customWidth="1"/>
    <col min="9" max="9" width="17.7109375" bestFit="1" customWidth="1"/>
    <col min="10" max="10" width="21.28515625" bestFit="1" customWidth="1"/>
    <col min="11" max="11" width="19.85546875" bestFit="1" customWidth="1"/>
    <col min="12" max="13" width="14.5703125" bestFit="1" customWidth="1"/>
    <col min="14" max="14" width="21" bestFit="1" customWidth="1"/>
  </cols>
  <sheetData>
    <row r="1" spans="1:14" x14ac:dyDescent="0.25">
      <c r="A1" t="s">
        <v>0</v>
      </c>
      <c r="B1" t="s">
        <v>1</v>
      </c>
      <c r="C1" t="s">
        <v>30</v>
      </c>
      <c r="D1" t="s">
        <v>10</v>
      </c>
      <c r="E1" t="s">
        <v>11</v>
      </c>
      <c r="F1" t="s">
        <v>12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51</v>
      </c>
    </row>
    <row r="2" spans="1:14" x14ac:dyDescent="0.25">
      <c r="A2">
        <v>1001</v>
      </c>
      <c r="B2">
        <v>22</v>
      </c>
      <c r="C2" t="s">
        <v>31</v>
      </c>
      <c r="D2" t="s">
        <v>22</v>
      </c>
      <c r="E2" t="s">
        <v>25</v>
      </c>
      <c r="F2" t="s">
        <v>15</v>
      </c>
      <c r="G2">
        <v>96883</v>
      </c>
      <c r="H2">
        <v>24</v>
      </c>
      <c r="I2">
        <v>43</v>
      </c>
      <c r="J2">
        <v>3</v>
      </c>
      <c r="K2">
        <v>9</v>
      </c>
      <c r="L2" s="1">
        <v>44280</v>
      </c>
      <c r="M2" s="1"/>
      <c r="N2" t="s">
        <v>49</v>
      </c>
    </row>
    <row r="3" spans="1:14" x14ac:dyDescent="0.25">
      <c r="A3">
        <v>1002</v>
      </c>
      <c r="B3">
        <v>32</v>
      </c>
      <c r="C3" t="s">
        <v>31</v>
      </c>
      <c r="D3" t="s">
        <v>19</v>
      </c>
      <c r="E3" t="s">
        <v>25</v>
      </c>
      <c r="F3" t="s">
        <v>45</v>
      </c>
      <c r="G3">
        <v>45004</v>
      </c>
      <c r="H3">
        <v>17</v>
      </c>
      <c r="I3">
        <v>7</v>
      </c>
      <c r="J3">
        <v>4</v>
      </c>
      <c r="K3">
        <v>10</v>
      </c>
      <c r="L3" s="1">
        <v>42800</v>
      </c>
      <c r="M3" s="1">
        <v>44751</v>
      </c>
      <c r="N3" t="s">
        <v>50</v>
      </c>
    </row>
    <row r="4" spans="1:14" x14ac:dyDescent="0.25">
      <c r="A4">
        <v>1003</v>
      </c>
      <c r="B4">
        <v>31</v>
      </c>
      <c r="C4" t="s">
        <v>31</v>
      </c>
      <c r="D4" t="s">
        <v>27</v>
      </c>
      <c r="E4" t="s">
        <v>28</v>
      </c>
      <c r="F4" t="s">
        <v>18</v>
      </c>
      <c r="G4">
        <v>57054</v>
      </c>
      <c r="H4">
        <v>12</v>
      </c>
      <c r="I4">
        <v>18</v>
      </c>
      <c r="J4">
        <v>1</v>
      </c>
      <c r="K4">
        <v>1</v>
      </c>
      <c r="L4" s="1">
        <v>45389</v>
      </c>
      <c r="M4" s="1"/>
      <c r="N4" t="s">
        <v>49</v>
      </c>
    </row>
    <row r="5" spans="1:14" x14ac:dyDescent="0.25">
      <c r="A5">
        <v>1004</v>
      </c>
      <c r="B5">
        <v>34</v>
      </c>
      <c r="C5" t="s">
        <v>31</v>
      </c>
      <c r="D5" t="s">
        <v>16</v>
      </c>
      <c r="E5" t="s">
        <v>12</v>
      </c>
      <c r="F5" t="s">
        <v>21</v>
      </c>
      <c r="G5">
        <v>60564</v>
      </c>
      <c r="H5">
        <v>27</v>
      </c>
      <c r="I5">
        <v>6</v>
      </c>
      <c r="J5">
        <v>2</v>
      </c>
      <c r="K5">
        <v>2</v>
      </c>
      <c r="L5" s="1">
        <v>42579</v>
      </c>
      <c r="M5" s="1"/>
      <c r="N5" t="s">
        <v>49</v>
      </c>
    </row>
    <row r="6" spans="1:14" x14ac:dyDescent="0.25">
      <c r="A6">
        <v>1005</v>
      </c>
      <c r="B6">
        <v>38</v>
      </c>
      <c r="C6" t="s">
        <v>31</v>
      </c>
      <c r="D6" t="s">
        <v>27</v>
      </c>
      <c r="E6" t="s">
        <v>14</v>
      </c>
      <c r="F6" t="s">
        <v>26</v>
      </c>
      <c r="G6">
        <v>103148</v>
      </c>
      <c r="H6">
        <v>2</v>
      </c>
      <c r="I6">
        <v>29</v>
      </c>
      <c r="J6">
        <v>2</v>
      </c>
      <c r="K6">
        <v>1</v>
      </c>
      <c r="L6" s="1">
        <v>43571</v>
      </c>
      <c r="M6" s="1">
        <v>42774</v>
      </c>
      <c r="N6" t="s">
        <v>50</v>
      </c>
    </row>
    <row r="7" spans="1:14" x14ac:dyDescent="0.25">
      <c r="A7">
        <v>1006</v>
      </c>
      <c r="B7">
        <v>22</v>
      </c>
      <c r="C7" t="s">
        <v>32</v>
      </c>
      <c r="D7" t="s">
        <v>19</v>
      </c>
      <c r="E7" t="s">
        <v>14</v>
      </c>
      <c r="F7" t="s">
        <v>29</v>
      </c>
      <c r="G7">
        <v>109322</v>
      </c>
      <c r="H7">
        <v>1</v>
      </c>
      <c r="I7">
        <v>35</v>
      </c>
      <c r="J7">
        <v>3</v>
      </c>
      <c r="K7">
        <v>8</v>
      </c>
      <c r="L7" s="1">
        <v>45022</v>
      </c>
      <c r="M7" s="1"/>
      <c r="N7" t="s">
        <v>49</v>
      </c>
    </row>
    <row r="8" spans="1:14" x14ac:dyDescent="0.25">
      <c r="A8">
        <v>1007</v>
      </c>
      <c r="B8">
        <v>59</v>
      </c>
      <c r="C8" t="s">
        <v>32</v>
      </c>
      <c r="D8" t="s">
        <v>13</v>
      </c>
      <c r="E8" t="s">
        <v>20</v>
      </c>
      <c r="F8" t="s">
        <v>21</v>
      </c>
      <c r="G8">
        <v>89178</v>
      </c>
      <c r="H8">
        <v>5</v>
      </c>
      <c r="I8">
        <v>14</v>
      </c>
      <c r="J8">
        <v>4</v>
      </c>
      <c r="K8">
        <v>4</v>
      </c>
      <c r="L8" s="1">
        <v>42802</v>
      </c>
      <c r="M8" s="1">
        <v>42760</v>
      </c>
      <c r="N8" t="s">
        <v>50</v>
      </c>
    </row>
    <row r="9" spans="1:14" x14ac:dyDescent="0.25">
      <c r="A9">
        <v>1008</v>
      </c>
      <c r="B9">
        <v>27</v>
      </c>
      <c r="C9" t="s">
        <v>32</v>
      </c>
      <c r="D9" t="s">
        <v>22</v>
      </c>
      <c r="E9" t="s">
        <v>25</v>
      </c>
      <c r="F9" t="s">
        <v>15</v>
      </c>
      <c r="G9">
        <v>83409</v>
      </c>
      <c r="H9">
        <v>25</v>
      </c>
      <c r="I9">
        <v>58</v>
      </c>
      <c r="J9">
        <v>1</v>
      </c>
      <c r="K9">
        <v>10</v>
      </c>
      <c r="L9" s="1">
        <v>42667</v>
      </c>
      <c r="M9" s="1"/>
      <c r="N9" t="s">
        <v>49</v>
      </c>
    </row>
    <row r="10" spans="1:14" x14ac:dyDescent="0.25">
      <c r="A10">
        <v>1009</v>
      </c>
      <c r="B10">
        <v>44</v>
      </c>
      <c r="C10" t="s">
        <v>32</v>
      </c>
      <c r="D10" t="s">
        <v>13</v>
      </c>
      <c r="E10" t="s">
        <v>28</v>
      </c>
      <c r="F10" t="s">
        <v>26</v>
      </c>
      <c r="G10">
        <v>66465</v>
      </c>
      <c r="H10">
        <v>21</v>
      </c>
      <c r="I10">
        <v>32</v>
      </c>
      <c r="K10">
        <v>7</v>
      </c>
      <c r="L10" s="1">
        <v>44378</v>
      </c>
      <c r="M10" s="1"/>
      <c r="N10" t="s">
        <v>49</v>
      </c>
    </row>
    <row r="11" spans="1:14" x14ac:dyDescent="0.25">
      <c r="A11">
        <v>1010</v>
      </c>
      <c r="B11">
        <v>49</v>
      </c>
      <c r="C11" t="s">
        <v>31</v>
      </c>
      <c r="D11" t="s">
        <v>19</v>
      </c>
      <c r="E11" t="s">
        <v>12</v>
      </c>
      <c r="F11" t="s">
        <v>26</v>
      </c>
      <c r="G11">
        <v>62677</v>
      </c>
      <c r="H11">
        <v>9</v>
      </c>
      <c r="I11">
        <v>42</v>
      </c>
      <c r="J11">
        <v>4</v>
      </c>
      <c r="K11">
        <v>7</v>
      </c>
      <c r="L11" s="1">
        <v>42225</v>
      </c>
      <c r="M11" s="1"/>
      <c r="N11" t="s">
        <v>49</v>
      </c>
    </row>
    <row r="12" spans="1:14" x14ac:dyDescent="0.25">
      <c r="A12">
        <v>1011</v>
      </c>
      <c r="B12">
        <v>30</v>
      </c>
      <c r="C12" t="s">
        <v>32</v>
      </c>
      <c r="D12" t="s">
        <v>23</v>
      </c>
      <c r="E12" t="s">
        <v>25</v>
      </c>
      <c r="F12" t="s">
        <v>17</v>
      </c>
      <c r="G12">
        <v>48019</v>
      </c>
      <c r="H12">
        <v>12</v>
      </c>
      <c r="I12">
        <v>33</v>
      </c>
      <c r="J12">
        <v>3</v>
      </c>
      <c r="K12">
        <v>4</v>
      </c>
      <c r="L12" s="1">
        <v>45156</v>
      </c>
      <c r="M12" s="1"/>
      <c r="N12" t="s">
        <v>49</v>
      </c>
    </row>
    <row r="13" spans="1:14" x14ac:dyDescent="0.25">
      <c r="A13">
        <v>1012</v>
      </c>
      <c r="B13">
        <v>49</v>
      </c>
      <c r="C13" t="s">
        <v>32</v>
      </c>
      <c r="D13" t="s">
        <v>16</v>
      </c>
      <c r="E13" t="s">
        <v>14</v>
      </c>
      <c r="F13" t="s">
        <v>26</v>
      </c>
      <c r="G13">
        <v>99941</v>
      </c>
      <c r="H13">
        <v>25</v>
      </c>
      <c r="I13">
        <v>26</v>
      </c>
      <c r="J13">
        <v>3</v>
      </c>
      <c r="K13">
        <v>3</v>
      </c>
      <c r="L13" s="1">
        <v>44794</v>
      </c>
      <c r="M13" s="1">
        <v>45352</v>
      </c>
      <c r="N13" t="s">
        <v>50</v>
      </c>
    </row>
    <row r="14" spans="1:14" x14ac:dyDescent="0.25">
      <c r="A14">
        <v>1013</v>
      </c>
      <c r="B14">
        <v>50</v>
      </c>
      <c r="C14" t="s">
        <v>31</v>
      </c>
      <c r="D14" t="s">
        <v>13</v>
      </c>
      <c r="E14" t="s">
        <v>12</v>
      </c>
      <c r="F14" t="s">
        <v>29</v>
      </c>
      <c r="G14">
        <v>100930</v>
      </c>
      <c r="H14">
        <v>7</v>
      </c>
      <c r="I14">
        <v>44</v>
      </c>
      <c r="K14">
        <v>7</v>
      </c>
      <c r="L14" s="1">
        <v>45566</v>
      </c>
      <c r="M14" s="1"/>
      <c r="N14" t="s">
        <v>49</v>
      </c>
    </row>
    <row r="15" spans="1:14" x14ac:dyDescent="0.25">
      <c r="A15">
        <v>1014</v>
      </c>
      <c r="B15">
        <v>55</v>
      </c>
      <c r="C15" t="s">
        <v>32</v>
      </c>
      <c r="D15" t="s">
        <v>16</v>
      </c>
      <c r="E15" t="s">
        <v>12</v>
      </c>
      <c r="F15" t="s">
        <v>17</v>
      </c>
      <c r="G15">
        <v>56257</v>
      </c>
      <c r="H15">
        <v>14</v>
      </c>
      <c r="I15">
        <v>38</v>
      </c>
      <c r="J15">
        <v>5</v>
      </c>
      <c r="K15">
        <v>8</v>
      </c>
      <c r="L15" s="1">
        <v>42171</v>
      </c>
      <c r="M15" s="1"/>
      <c r="N15" t="s">
        <v>49</v>
      </c>
    </row>
    <row r="16" spans="1:14" x14ac:dyDescent="0.25">
      <c r="A16">
        <v>1015</v>
      </c>
      <c r="B16">
        <v>39</v>
      </c>
      <c r="C16" t="s">
        <v>31</v>
      </c>
      <c r="D16" t="s">
        <v>27</v>
      </c>
      <c r="E16" t="s">
        <v>12</v>
      </c>
      <c r="F16" t="s">
        <v>18</v>
      </c>
      <c r="G16">
        <v>89670</v>
      </c>
      <c r="H16">
        <v>22</v>
      </c>
      <c r="I16">
        <v>26</v>
      </c>
      <c r="J16">
        <v>2</v>
      </c>
      <c r="K16">
        <v>10</v>
      </c>
      <c r="L16" s="1">
        <v>43995</v>
      </c>
      <c r="M16" s="1"/>
      <c r="N16" t="s">
        <v>49</v>
      </c>
    </row>
    <row r="17" spans="1:14" x14ac:dyDescent="0.25">
      <c r="A17">
        <v>1016</v>
      </c>
      <c r="B17">
        <v>23</v>
      </c>
      <c r="C17" t="s">
        <v>32</v>
      </c>
      <c r="D17" t="s">
        <v>27</v>
      </c>
      <c r="E17" t="s">
        <v>12</v>
      </c>
      <c r="F17" t="s">
        <v>18</v>
      </c>
      <c r="G17">
        <v>104400</v>
      </c>
      <c r="H17">
        <v>12</v>
      </c>
      <c r="I17">
        <v>16</v>
      </c>
      <c r="J17">
        <v>2</v>
      </c>
      <c r="K17">
        <v>9</v>
      </c>
      <c r="L17" s="1">
        <v>44844</v>
      </c>
      <c r="M17" s="1">
        <v>44915</v>
      </c>
      <c r="N17" t="s">
        <v>50</v>
      </c>
    </row>
    <row r="18" spans="1:14" x14ac:dyDescent="0.25">
      <c r="A18">
        <v>1017</v>
      </c>
      <c r="B18">
        <v>32</v>
      </c>
      <c r="C18" t="s">
        <v>31</v>
      </c>
      <c r="D18" t="s">
        <v>19</v>
      </c>
      <c r="E18" t="s">
        <v>20</v>
      </c>
      <c r="F18" t="s">
        <v>17</v>
      </c>
      <c r="G18">
        <v>85244</v>
      </c>
      <c r="H18">
        <v>20</v>
      </c>
      <c r="I18">
        <v>40</v>
      </c>
      <c r="K18">
        <v>4</v>
      </c>
      <c r="L18" s="1">
        <v>44993</v>
      </c>
      <c r="M18" s="1">
        <v>44751</v>
      </c>
      <c r="N18" t="s">
        <v>50</v>
      </c>
    </row>
    <row r="19" spans="1:14" x14ac:dyDescent="0.25">
      <c r="A19">
        <v>1018</v>
      </c>
      <c r="B19">
        <v>30</v>
      </c>
      <c r="C19" t="s">
        <v>31</v>
      </c>
      <c r="D19" t="s">
        <v>16</v>
      </c>
      <c r="E19" t="s">
        <v>25</v>
      </c>
      <c r="F19" t="s">
        <v>45</v>
      </c>
      <c r="G19">
        <v>49472</v>
      </c>
      <c r="H19">
        <v>28</v>
      </c>
      <c r="I19">
        <v>45</v>
      </c>
      <c r="J19">
        <v>1</v>
      </c>
      <c r="K19">
        <v>10</v>
      </c>
      <c r="L19" s="1">
        <v>45041</v>
      </c>
      <c r="M19" s="1"/>
      <c r="N19" t="s">
        <v>49</v>
      </c>
    </row>
    <row r="20" spans="1:14" x14ac:dyDescent="0.25">
      <c r="A20">
        <v>1019</v>
      </c>
      <c r="B20">
        <v>23</v>
      </c>
      <c r="C20" t="s">
        <v>31</v>
      </c>
      <c r="D20" t="s">
        <v>22</v>
      </c>
      <c r="E20" t="s">
        <v>20</v>
      </c>
      <c r="F20" t="s">
        <v>18</v>
      </c>
      <c r="G20">
        <v>46860</v>
      </c>
      <c r="H20">
        <v>24</v>
      </c>
      <c r="I20">
        <v>3</v>
      </c>
      <c r="J20">
        <v>2</v>
      </c>
      <c r="K20">
        <v>7</v>
      </c>
      <c r="L20" s="1">
        <v>45571</v>
      </c>
      <c r="M20" s="1">
        <v>42641</v>
      </c>
      <c r="N20" t="s">
        <v>50</v>
      </c>
    </row>
    <row r="21" spans="1:14" x14ac:dyDescent="0.25">
      <c r="A21">
        <v>1020</v>
      </c>
      <c r="B21">
        <v>59</v>
      </c>
      <c r="C21" t="s">
        <v>32</v>
      </c>
      <c r="D21" t="s">
        <v>27</v>
      </c>
      <c r="E21" t="s">
        <v>12</v>
      </c>
      <c r="F21" t="s">
        <v>18</v>
      </c>
      <c r="G21">
        <v>97764</v>
      </c>
      <c r="H21">
        <v>6</v>
      </c>
      <c r="I21">
        <v>2</v>
      </c>
      <c r="K21">
        <v>1</v>
      </c>
      <c r="L21" s="1">
        <v>45111</v>
      </c>
      <c r="M21" s="1"/>
      <c r="N21" t="s">
        <v>49</v>
      </c>
    </row>
    <row r="22" spans="1:14" x14ac:dyDescent="0.25">
      <c r="A22">
        <v>1021</v>
      </c>
      <c r="B22">
        <v>29</v>
      </c>
      <c r="C22" t="s">
        <v>32</v>
      </c>
      <c r="D22" t="s">
        <v>23</v>
      </c>
      <c r="E22" t="s">
        <v>12</v>
      </c>
      <c r="F22" t="s">
        <v>26</v>
      </c>
      <c r="G22">
        <v>45004</v>
      </c>
      <c r="H22">
        <v>29</v>
      </c>
      <c r="I22">
        <v>57</v>
      </c>
      <c r="J22">
        <v>4</v>
      </c>
      <c r="K22">
        <v>9</v>
      </c>
      <c r="L22" s="1">
        <v>45112</v>
      </c>
      <c r="M22" s="1"/>
      <c r="N22" t="s">
        <v>49</v>
      </c>
    </row>
    <row r="23" spans="1:14" x14ac:dyDescent="0.25">
      <c r="A23">
        <v>1022</v>
      </c>
      <c r="B23">
        <v>22</v>
      </c>
      <c r="C23" t="s">
        <v>31</v>
      </c>
      <c r="D23" t="s">
        <v>22</v>
      </c>
      <c r="E23" t="s">
        <v>14</v>
      </c>
      <c r="F23" t="s">
        <v>15</v>
      </c>
      <c r="G23">
        <v>90697</v>
      </c>
      <c r="H23">
        <v>27</v>
      </c>
      <c r="I23">
        <v>20</v>
      </c>
      <c r="J23">
        <v>3</v>
      </c>
      <c r="K23">
        <v>9</v>
      </c>
      <c r="L23" s="1">
        <v>44014</v>
      </c>
      <c r="M23" s="1"/>
      <c r="N23" t="s">
        <v>49</v>
      </c>
    </row>
    <row r="24" spans="1:14" x14ac:dyDescent="0.25">
      <c r="A24">
        <v>1023</v>
      </c>
      <c r="B24">
        <v>26</v>
      </c>
      <c r="C24" t="s">
        <v>32</v>
      </c>
      <c r="D24" t="s">
        <v>23</v>
      </c>
      <c r="E24" t="s">
        <v>25</v>
      </c>
      <c r="F24" t="s">
        <v>15</v>
      </c>
      <c r="G24">
        <v>83927</v>
      </c>
      <c r="H24">
        <v>20</v>
      </c>
      <c r="I24">
        <v>47</v>
      </c>
      <c r="J24">
        <v>4</v>
      </c>
      <c r="K24">
        <v>10</v>
      </c>
      <c r="L24" s="1">
        <v>43722</v>
      </c>
      <c r="M24" s="1"/>
      <c r="N24" t="s">
        <v>49</v>
      </c>
    </row>
    <row r="25" spans="1:14" x14ac:dyDescent="0.25">
      <c r="A25">
        <v>1024</v>
      </c>
      <c r="B25">
        <v>24</v>
      </c>
      <c r="C25" t="s">
        <v>31</v>
      </c>
      <c r="D25" t="s">
        <v>22</v>
      </c>
      <c r="E25" t="s">
        <v>25</v>
      </c>
      <c r="F25" t="s">
        <v>45</v>
      </c>
      <c r="G25">
        <v>59112</v>
      </c>
      <c r="H25">
        <v>20</v>
      </c>
      <c r="I25">
        <v>4</v>
      </c>
      <c r="J25">
        <v>1</v>
      </c>
      <c r="K25">
        <v>2</v>
      </c>
      <c r="L25" s="1">
        <v>42904</v>
      </c>
      <c r="M25" s="1">
        <v>42791</v>
      </c>
      <c r="N25" t="s">
        <v>50</v>
      </c>
    </row>
    <row r="26" spans="1:14" x14ac:dyDescent="0.25">
      <c r="A26">
        <v>1025</v>
      </c>
      <c r="B26">
        <v>33</v>
      </c>
      <c r="C26" t="s">
        <v>31</v>
      </c>
      <c r="D26" t="s">
        <v>22</v>
      </c>
      <c r="E26" t="s">
        <v>28</v>
      </c>
      <c r="F26" t="s">
        <v>17</v>
      </c>
      <c r="G26">
        <v>62733</v>
      </c>
      <c r="H26">
        <v>7</v>
      </c>
      <c r="I26">
        <v>3</v>
      </c>
      <c r="J26">
        <v>3</v>
      </c>
      <c r="K26">
        <v>2</v>
      </c>
      <c r="L26" s="1">
        <v>42841</v>
      </c>
      <c r="M26" s="1"/>
      <c r="N26" t="s">
        <v>49</v>
      </c>
    </row>
    <row r="27" spans="1:14" x14ac:dyDescent="0.25">
      <c r="A27">
        <v>1026</v>
      </c>
      <c r="B27">
        <v>54</v>
      </c>
      <c r="C27" t="s">
        <v>32</v>
      </c>
      <c r="D27" t="s">
        <v>22</v>
      </c>
      <c r="E27" t="s">
        <v>14</v>
      </c>
      <c r="F27" t="s">
        <v>26</v>
      </c>
      <c r="G27">
        <v>99025</v>
      </c>
      <c r="H27">
        <v>14</v>
      </c>
      <c r="I27">
        <v>45</v>
      </c>
      <c r="J27">
        <v>1</v>
      </c>
      <c r="K27">
        <v>1</v>
      </c>
      <c r="L27" s="1">
        <v>45247</v>
      </c>
      <c r="M27" s="1"/>
      <c r="N27" t="s">
        <v>49</v>
      </c>
    </row>
    <row r="28" spans="1:14" x14ac:dyDescent="0.25">
      <c r="A28">
        <v>1027</v>
      </c>
      <c r="B28">
        <v>33</v>
      </c>
      <c r="C28" t="s">
        <v>32</v>
      </c>
      <c r="D28" t="s">
        <v>27</v>
      </c>
      <c r="E28" t="s">
        <v>12</v>
      </c>
      <c r="F28" t="s">
        <v>15</v>
      </c>
      <c r="G28">
        <v>101253</v>
      </c>
      <c r="H28">
        <v>18</v>
      </c>
      <c r="I28">
        <v>27</v>
      </c>
      <c r="J28">
        <v>4</v>
      </c>
      <c r="K28">
        <v>10</v>
      </c>
      <c r="L28" s="1">
        <v>43561</v>
      </c>
      <c r="M28" s="1"/>
      <c r="N28" t="s">
        <v>49</v>
      </c>
    </row>
    <row r="29" spans="1:14" x14ac:dyDescent="0.25">
      <c r="A29">
        <v>1028</v>
      </c>
      <c r="B29">
        <v>23</v>
      </c>
      <c r="C29" t="s">
        <v>32</v>
      </c>
      <c r="D29" t="s">
        <v>16</v>
      </c>
      <c r="E29" t="s">
        <v>25</v>
      </c>
      <c r="F29" t="s">
        <v>17</v>
      </c>
      <c r="G29">
        <v>45278</v>
      </c>
      <c r="H29">
        <v>17</v>
      </c>
      <c r="I29">
        <v>23</v>
      </c>
      <c r="K29">
        <v>1</v>
      </c>
      <c r="L29" s="1">
        <v>43863</v>
      </c>
      <c r="M29" s="1"/>
      <c r="N29" t="s">
        <v>49</v>
      </c>
    </row>
    <row r="30" spans="1:14" x14ac:dyDescent="0.25">
      <c r="A30">
        <v>1029</v>
      </c>
      <c r="B30">
        <v>23</v>
      </c>
      <c r="C30" t="s">
        <v>32</v>
      </c>
      <c r="D30" t="s">
        <v>23</v>
      </c>
      <c r="E30" t="s">
        <v>14</v>
      </c>
      <c r="F30" t="s">
        <v>26</v>
      </c>
      <c r="G30">
        <v>93665</v>
      </c>
      <c r="H30">
        <v>4</v>
      </c>
      <c r="I30">
        <v>30</v>
      </c>
      <c r="J30">
        <v>2</v>
      </c>
      <c r="K30">
        <v>6</v>
      </c>
      <c r="L30" s="1">
        <v>45097</v>
      </c>
      <c r="M30" s="1">
        <v>43507</v>
      </c>
      <c r="N30" t="s">
        <v>50</v>
      </c>
    </row>
    <row r="31" spans="1:14" x14ac:dyDescent="0.25">
      <c r="A31">
        <v>1030</v>
      </c>
      <c r="B31">
        <v>38</v>
      </c>
      <c r="C31" t="s">
        <v>32</v>
      </c>
      <c r="D31" t="s">
        <v>27</v>
      </c>
      <c r="E31" t="s">
        <v>28</v>
      </c>
      <c r="F31" t="s">
        <v>21</v>
      </c>
      <c r="G31">
        <v>74101</v>
      </c>
      <c r="H31">
        <v>24</v>
      </c>
      <c r="I31">
        <v>46</v>
      </c>
      <c r="J31">
        <v>1</v>
      </c>
      <c r="K31">
        <v>6</v>
      </c>
      <c r="L31" s="1">
        <v>44982</v>
      </c>
      <c r="M31" s="1"/>
      <c r="N31" t="s">
        <v>49</v>
      </c>
    </row>
    <row r="32" spans="1:14" x14ac:dyDescent="0.25">
      <c r="A32">
        <v>1031</v>
      </c>
      <c r="B32">
        <v>24</v>
      </c>
      <c r="C32" t="s">
        <v>32</v>
      </c>
      <c r="D32" t="s">
        <v>16</v>
      </c>
      <c r="E32" t="s">
        <v>25</v>
      </c>
      <c r="F32" t="s">
        <v>21</v>
      </c>
      <c r="G32">
        <v>85018</v>
      </c>
      <c r="H32">
        <v>8</v>
      </c>
      <c r="I32">
        <v>24</v>
      </c>
      <c r="J32">
        <v>2</v>
      </c>
      <c r="K32">
        <v>2</v>
      </c>
      <c r="L32" s="1">
        <v>42112</v>
      </c>
      <c r="M32" s="1"/>
      <c r="N32" t="s">
        <v>49</v>
      </c>
    </row>
    <row r="33" spans="1:14" x14ac:dyDescent="0.25">
      <c r="A33">
        <v>1032</v>
      </c>
      <c r="B33">
        <v>38</v>
      </c>
      <c r="C33" t="s">
        <v>31</v>
      </c>
      <c r="D33" t="s">
        <v>22</v>
      </c>
      <c r="E33" t="s">
        <v>28</v>
      </c>
      <c r="F33" t="s">
        <v>17</v>
      </c>
      <c r="G33">
        <v>78900</v>
      </c>
      <c r="H33">
        <v>12</v>
      </c>
      <c r="I33">
        <v>6</v>
      </c>
      <c r="J33">
        <v>1</v>
      </c>
      <c r="K33">
        <v>7</v>
      </c>
      <c r="L33" s="1">
        <v>42167</v>
      </c>
      <c r="M33" s="1"/>
      <c r="N33" t="s">
        <v>49</v>
      </c>
    </row>
    <row r="34" spans="1:14" x14ac:dyDescent="0.25">
      <c r="A34">
        <v>1033</v>
      </c>
      <c r="B34">
        <v>59</v>
      </c>
      <c r="C34" t="s">
        <v>31</v>
      </c>
      <c r="D34" t="s">
        <v>13</v>
      </c>
      <c r="E34" t="s">
        <v>25</v>
      </c>
      <c r="F34" t="s">
        <v>21</v>
      </c>
      <c r="G34">
        <v>78249</v>
      </c>
      <c r="H34">
        <v>30</v>
      </c>
      <c r="I34">
        <v>41</v>
      </c>
      <c r="J34">
        <v>2</v>
      </c>
      <c r="K34">
        <v>10</v>
      </c>
      <c r="L34" s="1">
        <v>42056</v>
      </c>
      <c r="M34" s="1"/>
      <c r="N34" t="s">
        <v>49</v>
      </c>
    </row>
    <row r="35" spans="1:14" x14ac:dyDescent="0.25">
      <c r="A35">
        <v>1034</v>
      </c>
      <c r="B35">
        <v>37</v>
      </c>
      <c r="C35" t="s">
        <v>32</v>
      </c>
      <c r="D35" t="s">
        <v>22</v>
      </c>
      <c r="E35" t="s">
        <v>28</v>
      </c>
      <c r="F35" t="s">
        <v>21</v>
      </c>
      <c r="G35">
        <v>48259</v>
      </c>
      <c r="H35">
        <v>26</v>
      </c>
      <c r="I35">
        <v>57</v>
      </c>
      <c r="J35">
        <v>4</v>
      </c>
      <c r="K35">
        <v>8</v>
      </c>
      <c r="L35" s="1">
        <v>43365</v>
      </c>
      <c r="M35" s="1">
        <v>42887</v>
      </c>
      <c r="N35" t="s">
        <v>50</v>
      </c>
    </row>
    <row r="36" spans="1:14" x14ac:dyDescent="0.25">
      <c r="A36">
        <v>1035</v>
      </c>
      <c r="B36">
        <v>51</v>
      </c>
      <c r="C36" t="s">
        <v>32</v>
      </c>
      <c r="D36" t="s">
        <v>22</v>
      </c>
      <c r="E36" t="s">
        <v>25</v>
      </c>
      <c r="F36" t="s">
        <v>18</v>
      </c>
      <c r="G36">
        <v>103617</v>
      </c>
      <c r="H36">
        <v>19</v>
      </c>
      <c r="I36">
        <v>26</v>
      </c>
      <c r="J36">
        <v>2</v>
      </c>
      <c r="K36">
        <v>3</v>
      </c>
      <c r="L36" s="1">
        <v>45253</v>
      </c>
      <c r="M36" s="1"/>
      <c r="N36" t="s">
        <v>49</v>
      </c>
    </row>
    <row r="37" spans="1:14" x14ac:dyDescent="0.25">
      <c r="A37">
        <v>1036</v>
      </c>
      <c r="B37">
        <v>50</v>
      </c>
      <c r="C37" t="s">
        <v>31</v>
      </c>
      <c r="D37" t="s">
        <v>16</v>
      </c>
      <c r="E37" t="s">
        <v>28</v>
      </c>
      <c r="F37" t="s">
        <v>29</v>
      </c>
      <c r="G37">
        <v>57227</v>
      </c>
      <c r="H37">
        <v>10</v>
      </c>
      <c r="I37">
        <v>5</v>
      </c>
      <c r="J37">
        <v>5</v>
      </c>
      <c r="K37">
        <v>8</v>
      </c>
      <c r="L37" s="1">
        <v>45263</v>
      </c>
      <c r="M37" s="1"/>
      <c r="N37" t="s">
        <v>49</v>
      </c>
    </row>
    <row r="38" spans="1:14" x14ac:dyDescent="0.25">
      <c r="A38">
        <v>1037</v>
      </c>
      <c r="B38">
        <v>44</v>
      </c>
      <c r="C38" t="s">
        <v>32</v>
      </c>
      <c r="D38" t="s">
        <v>27</v>
      </c>
      <c r="E38" t="s">
        <v>14</v>
      </c>
      <c r="F38" t="s">
        <v>21</v>
      </c>
      <c r="G38">
        <v>71066</v>
      </c>
      <c r="H38">
        <v>30</v>
      </c>
      <c r="I38">
        <v>8</v>
      </c>
      <c r="K38">
        <v>5</v>
      </c>
      <c r="L38" s="1">
        <v>43517</v>
      </c>
      <c r="M38" s="1"/>
      <c r="N38" t="s">
        <v>49</v>
      </c>
    </row>
    <row r="39" spans="1:14" x14ac:dyDescent="0.25">
      <c r="A39">
        <v>1038</v>
      </c>
      <c r="B39">
        <v>33</v>
      </c>
      <c r="C39" t="s">
        <v>32</v>
      </c>
      <c r="D39" t="s">
        <v>23</v>
      </c>
      <c r="E39" t="s">
        <v>25</v>
      </c>
      <c r="F39" t="s">
        <v>45</v>
      </c>
      <c r="G39">
        <v>80825</v>
      </c>
      <c r="H39">
        <v>0</v>
      </c>
      <c r="I39">
        <v>44</v>
      </c>
      <c r="J39">
        <v>3</v>
      </c>
      <c r="K39">
        <v>3</v>
      </c>
      <c r="L39" s="1">
        <v>42280</v>
      </c>
      <c r="M39" s="1">
        <v>44734</v>
      </c>
      <c r="N39" t="s">
        <v>50</v>
      </c>
    </row>
    <row r="40" spans="1:14" x14ac:dyDescent="0.25">
      <c r="A40">
        <v>1039</v>
      </c>
      <c r="B40">
        <v>23</v>
      </c>
      <c r="C40" t="s">
        <v>31</v>
      </c>
      <c r="D40" t="s">
        <v>13</v>
      </c>
      <c r="E40" t="s">
        <v>28</v>
      </c>
      <c r="F40" t="s">
        <v>29</v>
      </c>
      <c r="G40">
        <v>63701</v>
      </c>
      <c r="H40">
        <v>23</v>
      </c>
      <c r="I40">
        <v>55</v>
      </c>
      <c r="J40">
        <v>4</v>
      </c>
      <c r="K40">
        <v>3</v>
      </c>
      <c r="L40" s="1">
        <v>45092</v>
      </c>
      <c r="M40" s="1">
        <v>42940</v>
      </c>
      <c r="N40" t="s">
        <v>50</v>
      </c>
    </row>
    <row r="41" spans="1:14" x14ac:dyDescent="0.25">
      <c r="A41">
        <v>1040</v>
      </c>
      <c r="B41">
        <v>26</v>
      </c>
      <c r="C41" t="s">
        <v>32</v>
      </c>
      <c r="D41" t="s">
        <v>22</v>
      </c>
      <c r="E41" t="s">
        <v>12</v>
      </c>
      <c r="F41" t="s">
        <v>29</v>
      </c>
      <c r="G41">
        <v>55672</v>
      </c>
      <c r="H41">
        <v>3</v>
      </c>
      <c r="I41">
        <v>52</v>
      </c>
      <c r="J41">
        <v>3</v>
      </c>
      <c r="K41">
        <v>1</v>
      </c>
      <c r="L41" s="1">
        <v>44416</v>
      </c>
      <c r="M41" s="1"/>
      <c r="N41" t="s">
        <v>49</v>
      </c>
    </row>
    <row r="42" spans="1:14" x14ac:dyDescent="0.25">
      <c r="A42">
        <v>1041</v>
      </c>
      <c r="B42">
        <v>29</v>
      </c>
      <c r="C42" t="s">
        <v>32</v>
      </c>
      <c r="D42" t="s">
        <v>22</v>
      </c>
      <c r="E42" t="s">
        <v>28</v>
      </c>
      <c r="F42" t="s">
        <v>29</v>
      </c>
      <c r="G42">
        <v>58476</v>
      </c>
      <c r="H42">
        <v>9</v>
      </c>
      <c r="I42">
        <v>34</v>
      </c>
      <c r="J42">
        <v>3</v>
      </c>
      <c r="K42">
        <v>2</v>
      </c>
      <c r="L42" s="1">
        <v>44093</v>
      </c>
      <c r="M42" s="1"/>
      <c r="N42" t="s">
        <v>49</v>
      </c>
    </row>
    <row r="43" spans="1:14" x14ac:dyDescent="0.25">
      <c r="A43">
        <v>1042</v>
      </c>
      <c r="B43">
        <v>58</v>
      </c>
      <c r="C43" t="s">
        <v>32</v>
      </c>
      <c r="D43" t="s">
        <v>22</v>
      </c>
      <c r="E43" t="s">
        <v>14</v>
      </c>
      <c r="F43" t="s">
        <v>17</v>
      </c>
      <c r="G43">
        <v>89655</v>
      </c>
      <c r="H43">
        <v>22</v>
      </c>
      <c r="I43">
        <v>55</v>
      </c>
      <c r="J43">
        <v>1</v>
      </c>
      <c r="K43">
        <v>3</v>
      </c>
      <c r="L43" s="1">
        <v>45216</v>
      </c>
      <c r="M43" s="1"/>
      <c r="N43" t="s">
        <v>49</v>
      </c>
    </row>
    <row r="44" spans="1:14" x14ac:dyDescent="0.25">
      <c r="A44">
        <v>1043</v>
      </c>
      <c r="B44">
        <v>30</v>
      </c>
      <c r="C44" t="s">
        <v>31</v>
      </c>
      <c r="D44" t="s">
        <v>16</v>
      </c>
      <c r="E44" t="s">
        <v>20</v>
      </c>
      <c r="F44" t="s">
        <v>29</v>
      </c>
      <c r="G44">
        <v>71693</v>
      </c>
      <c r="H44">
        <v>8</v>
      </c>
      <c r="I44">
        <v>1</v>
      </c>
      <c r="K44">
        <v>4</v>
      </c>
      <c r="L44" s="1">
        <v>44292</v>
      </c>
      <c r="M44" s="1">
        <v>43073</v>
      </c>
      <c r="N44" t="s">
        <v>50</v>
      </c>
    </row>
    <row r="45" spans="1:14" x14ac:dyDescent="0.25">
      <c r="A45">
        <v>1044</v>
      </c>
      <c r="B45">
        <v>23</v>
      </c>
      <c r="C45" t="s">
        <v>31</v>
      </c>
      <c r="D45" t="s">
        <v>19</v>
      </c>
      <c r="E45" t="s">
        <v>20</v>
      </c>
      <c r="F45" t="s">
        <v>21</v>
      </c>
      <c r="G45">
        <v>107299</v>
      </c>
      <c r="H45">
        <v>1</v>
      </c>
      <c r="I45">
        <v>36</v>
      </c>
      <c r="J45">
        <v>1</v>
      </c>
      <c r="K45">
        <v>8</v>
      </c>
      <c r="L45" s="1">
        <v>44725</v>
      </c>
      <c r="M45" s="1"/>
      <c r="N45" t="s">
        <v>49</v>
      </c>
    </row>
    <row r="46" spans="1:14" x14ac:dyDescent="0.25">
      <c r="A46">
        <v>1045</v>
      </c>
      <c r="B46">
        <v>28</v>
      </c>
      <c r="C46" t="s">
        <v>31</v>
      </c>
      <c r="D46" t="s">
        <v>16</v>
      </c>
      <c r="E46" t="s">
        <v>14</v>
      </c>
      <c r="F46" t="s">
        <v>21</v>
      </c>
      <c r="G46">
        <v>75897</v>
      </c>
      <c r="H46">
        <v>14</v>
      </c>
      <c r="I46">
        <v>54</v>
      </c>
      <c r="K46">
        <v>4</v>
      </c>
      <c r="L46" s="1">
        <v>42810</v>
      </c>
      <c r="M46" s="1">
        <v>43360</v>
      </c>
      <c r="N46" t="s">
        <v>50</v>
      </c>
    </row>
    <row r="47" spans="1:14" x14ac:dyDescent="0.25">
      <c r="A47">
        <v>1046</v>
      </c>
      <c r="B47">
        <v>35</v>
      </c>
      <c r="C47" t="s">
        <v>32</v>
      </c>
      <c r="D47" t="s">
        <v>23</v>
      </c>
      <c r="E47" t="s">
        <v>12</v>
      </c>
      <c r="F47" t="s">
        <v>21</v>
      </c>
      <c r="G47">
        <v>63383</v>
      </c>
      <c r="H47">
        <v>17</v>
      </c>
      <c r="I47">
        <v>33</v>
      </c>
      <c r="J47">
        <v>1</v>
      </c>
      <c r="K47">
        <v>4</v>
      </c>
      <c r="L47" s="1">
        <v>42334</v>
      </c>
      <c r="M47" s="1">
        <v>44873</v>
      </c>
      <c r="N47" t="s">
        <v>50</v>
      </c>
    </row>
    <row r="48" spans="1:14" x14ac:dyDescent="0.25">
      <c r="A48">
        <v>1047</v>
      </c>
      <c r="B48">
        <v>45</v>
      </c>
      <c r="C48" t="s">
        <v>31</v>
      </c>
      <c r="D48" t="s">
        <v>19</v>
      </c>
      <c r="E48" t="s">
        <v>25</v>
      </c>
      <c r="F48" t="s">
        <v>29</v>
      </c>
      <c r="G48">
        <v>109014</v>
      </c>
      <c r="H48">
        <v>28</v>
      </c>
      <c r="I48">
        <v>48</v>
      </c>
      <c r="J48">
        <v>5</v>
      </c>
      <c r="K48">
        <v>4</v>
      </c>
      <c r="L48" s="1">
        <v>42078</v>
      </c>
      <c r="M48" s="1"/>
      <c r="N48" t="s">
        <v>49</v>
      </c>
    </row>
    <row r="49" spans="1:14" x14ac:dyDescent="0.25">
      <c r="A49">
        <v>1048</v>
      </c>
      <c r="B49">
        <v>53</v>
      </c>
      <c r="C49" t="s">
        <v>32</v>
      </c>
      <c r="D49" t="s">
        <v>16</v>
      </c>
      <c r="E49" t="s">
        <v>20</v>
      </c>
      <c r="F49" t="s">
        <v>45</v>
      </c>
      <c r="G49">
        <v>82854</v>
      </c>
      <c r="H49">
        <v>5</v>
      </c>
      <c r="I49">
        <v>19</v>
      </c>
      <c r="J49">
        <v>4</v>
      </c>
      <c r="K49">
        <v>10</v>
      </c>
      <c r="L49" s="1">
        <v>44660</v>
      </c>
      <c r="M49" s="1">
        <v>42897</v>
      </c>
      <c r="N49" t="s">
        <v>50</v>
      </c>
    </row>
    <row r="50" spans="1:14" x14ac:dyDescent="0.25">
      <c r="A50">
        <v>1049</v>
      </c>
      <c r="B50">
        <v>43</v>
      </c>
      <c r="C50" t="s">
        <v>31</v>
      </c>
      <c r="D50" t="s">
        <v>13</v>
      </c>
      <c r="E50" t="s">
        <v>28</v>
      </c>
      <c r="F50" t="s">
        <v>29</v>
      </c>
      <c r="G50">
        <v>59019</v>
      </c>
      <c r="H50">
        <v>14</v>
      </c>
      <c r="I50">
        <v>34</v>
      </c>
      <c r="K50">
        <v>5</v>
      </c>
      <c r="L50" s="1">
        <v>43111</v>
      </c>
      <c r="M50" s="1"/>
      <c r="N50" t="s">
        <v>49</v>
      </c>
    </row>
    <row r="51" spans="1:14" x14ac:dyDescent="0.25">
      <c r="A51">
        <v>1050</v>
      </c>
      <c r="B51">
        <v>25</v>
      </c>
      <c r="C51" t="s">
        <v>32</v>
      </c>
      <c r="D51" t="s">
        <v>19</v>
      </c>
      <c r="E51" t="s">
        <v>12</v>
      </c>
      <c r="F51" t="s">
        <v>45</v>
      </c>
      <c r="G51">
        <v>109824</v>
      </c>
      <c r="H51">
        <v>17</v>
      </c>
      <c r="I51">
        <v>38</v>
      </c>
      <c r="J51">
        <v>2</v>
      </c>
      <c r="K51">
        <v>3</v>
      </c>
      <c r="L51" s="1">
        <v>42868</v>
      </c>
      <c r="M51" s="1"/>
      <c r="N51" t="s">
        <v>49</v>
      </c>
    </row>
    <row r="52" spans="1:14" x14ac:dyDescent="0.25">
      <c r="A52">
        <v>1051</v>
      </c>
      <c r="B52">
        <v>25</v>
      </c>
      <c r="C52" t="s">
        <v>31</v>
      </c>
      <c r="D52" t="s">
        <v>23</v>
      </c>
      <c r="E52" t="s">
        <v>20</v>
      </c>
      <c r="F52" t="s">
        <v>21</v>
      </c>
      <c r="G52">
        <v>83473</v>
      </c>
      <c r="H52">
        <v>22</v>
      </c>
      <c r="I52">
        <v>57</v>
      </c>
      <c r="K52">
        <v>2</v>
      </c>
      <c r="L52" s="1">
        <v>43026</v>
      </c>
      <c r="M52" s="1"/>
      <c r="N52" t="s">
        <v>49</v>
      </c>
    </row>
    <row r="53" spans="1:14" x14ac:dyDescent="0.25">
      <c r="A53">
        <v>1052</v>
      </c>
      <c r="B53">
        <v>26</v>
      </c>
      <c r="C53" t="s">
        <v>31</v>
      </c>
      <c r="D53" t="s">
        <v>27</v>
      </c>
      <c r="E53" t="s">
        <v>20</v>
      </c>
      <c r="F53" t="s">
        <v>29</v>
      </c>
      <c r="G53">
        <v>54599</v>
      </c>
      <c r="H53">
        <v>12</v>
      </c>
      <c r="I53">
        <v>25</v>
      </c>
      <c r="J53">
        <v>2</v>
      </c>
      <c r="K53">
        <v>3</v>
      </c>
      <c r="L53" s="1">
        <v>42678</v>
      </c>
      <c r="M53" s="1"/>
      <c r="N53" t="s">
        <v>49</v>
      </c>
    </row>
    <row r="54" spans="1:14" x14ac:dyDescent="0.25">
      <c r="A54">
        <v>1053</v>
      </c>
      <c r="B54">
        <v>28</v>
      </c>
      <c r="C54" t="s">
        <v>31</v>
      </c>
      <c r="D54" t="s">
        <v>23</v>
      </c>
      <c r="E54" t="s">
        <v>25</v>
      </c>
      <c r="F54" t="s">
        <v>45</v>
      </c>
      <c r="G54">
        <v>98358</v>
      </c>
      <c r="H54">
        <v>27</v>
      </c>
      <c r="I54">
        <v>20</v>
      </c>
      <c r="J54">
        <v>3</v>
      </c>
      <c r="K54">
        <v>4</v>
      </c>
      <c r="L54" s="1">
        <v>42517</v>
      </c>
      <c r="M54" s="1">
        <v>43711</v>
      </c>
      <c r="N54" t="s">
        <v>50</v>
      </c>
    </row>
    <row r="55" spans="1:14" x14ac:dyDescent="0.25">
      <c r="A55">
        <v>1054</v>
      </c>
      <c r="B55">
        <v>33</v>
      </c>
      <c r="C55" t="s">
        <v>31</v>
      </c>
      <c r="D55" t="s">
        <v>13</v>
      </c>
      <c r="E55" t="s">
        <v>12</v>
      </c>
      <c r="F55" t="s">
        <v>29</v>
      </c>
      <c r="G55">
        <v>91878</v>
      </c>
      <c r="H55">
        <v>20</v>
      </c>
      <c r="I55">
        <v>45</v>
      </c>
      <c r="J55">
        <v>4</v>
      </c>
      <c r="K55">
        <v>10</v>
      </c>
      <c r="L55" s="1">
        <v>43484</v>
      </c>
      <c r="M55" s="1"/>
      <c r="N55" t="s">
        <v>49</v>
      </c>
    </row>
    <row r="56" spans="1:14" x14ac:dyDescent="0.25">
      <c r="A56">
        <v>1055</v>
      </c>
      <c r="B56">
        <v>30</v>
      </c>
      <c r="C56" t="s">
        <v>31</v>
      </c>
      <c r="D56" t="s">
        <v>19</v>
      </c>
      <c r="E56" t="s">
        <v>12</v>
      </c>
      <c r="F56" t="s">
        <v>15</v>
      </c>
      <c r="G56">
        <v>71151</v>
      </c>
      <c r="H56">
        <v>7</v>
      </c>
      <c r="I56">
        <v>45</v>
      </c>
      <c r="J56">
        <v>1</v>
      </c>
      <c r="K56">
        <v>1</v>
      </c>
      <c r="L56" s="1">
        <v>43752</v>
      </c>
      <c r="M56" s="1"/>
      <c r="N56" t="s">
        <v>49</v>
      </c>
    </row>
    <row r="57" spans="1:14" x14ac:dyDescent="0.25">
      <c r="A57">
        <v>1056</v>
      </c>
      <c r="B57">
        <v>43</v>
      </c>
      <c r="C57" t="s">
        <v>31</v>
      </c>
      <c r="D57" t="s">
        <v>23</v>
      </c>
      <c r="E57" t="s">
        <v>14</v>
      </c>
      <c r="F57" t="s">
        <v>21</v>
      </c>
      <c r="G57">
        <v>56599</v>
      </c>
      <c r="H57">
        <v>24</v>
      </c>
      <c r="I57">
        <v>9</v>
      </c>
      <c r="K57">
        <v>1</v>
      </c>
      <c r="L57" s="1">
        <v>45440</v>
      </c>
      <c r="M57" s="1">
        <v>44829</v>
      </c>
      <c r="N57" t="s">
        <v>50</v>
      </c>
    </row>
    <row r="58" spans="1:14" x14ac:dyDescent="0.25">
      <c r="A58">
        <v>1057</v>
      </c>
      <c r="B58">
        <v>41</v>
      </c>
      <c r="C58" t="s">
        <v>32</v>
      </c>
      <c r="D58" t="s">
        <v>16</v>
      </c>
      <c r="E58" t="s">
        <v>20</v>
      </c>
      <c r="F58" t="s">
        <v>18</v>
      </c>
      <c r="G58">
        <v>76848</v>
      </c>
      <c r="H58">
        <v>23</v>
      </c>
      <c r="I58">
        <v>32</v>
      </c>
      <c r="J58">
        <v>1</v>
      </c>
      <c r="K58">
        <v>4</v>
      </c>
      <c r="L58" s="1">
        <v>43355</v>
      </c>
      <c r="M58" s="1"/>
      <c r="N58" t="s">
        <v>49</v>
      </c>
    </row>
    <row r="59" spans="1:14" x14ac:dyDescent="0.25">
      <c r="A59">
        <v>1058</v>
      </c>
      <c r="B59">
        <v>33</v>
      </c>
      <c r="C59" t="s">
        <v>31</v>
      </c>
      <c r="D59" t="s">
        <v>27</v>
      </c>
      <c r="E59" t="s">
        <v>20</v>
      </c>
      <c r="F59" t="s">
        <v>17</v>
      </c>
      <c r="G59">
        <v>104193</v>
      </c>
      <c r="H59">
        <v>1</v>
      </c>
      <c r="I59">
        <v>42</v>
      </c>
      <c r="J59">
        <v>1</v>
      </c>
      <c r="K59">
        <v>4</v>
      </c>
      <c r="L59" s="1">
        <v>43572</v>
      </c>
      <c r="M59" s="1"/>
      <c r="N59" t="s">
        <v>49</v>
      </c>
    </row>
    <row r="60" spans="1:14" x14ac:dyDescent="0.25">
      <c r="A60">
        <v>1059</v>
      </c>
      <c r="B60">
        <v>25</v>
      </c>
      <c r="C60" t="s">
        <v>31</v>
      </c>
      <c r="D60" t="s">
        <v>22</v>
      </c>
      <c r="E60" t="s">
        <v>12</v>
      </c>
      <c r="F60" t="s">
        <v>29</v>
      </c>
      <c r="G60">
        <v>80514</v>
      </c>
      <c r="H60">
        <v>19</v>
      </c>
      <c r="I60">
        <v>28</v>
      </c>
      <c r="J60">
        <v>3</v>
      </c>
      <c r="K60">
        <v>8</v>
      </c>
      <c r="L60" s="1">
        <v>44319</v>
      </c>
      <c r="M60" s="1"/>
      <c r="N60" t="s">
        <v>49</v>
      </c>
    </row>
    <row r="61" spans="1:14" x14ac:dyDescent="0.25">
      <c r="A61">
        <v>1060</v>
      </c>
      <c r="B61">
        <v>26</v>
      </c>
      <c r="C61" t="s">
        <v>32</v>
      </c>
      <c r="D61" t="s">
        <v>22</v>
      </c>
      <c r="E61" t="s">
        <v>25</v>
      </c>
      <c r="F61" t="s">
        <v>45</v>
      </c>
      <c r="G61">
        <v>102895</v>
      </c>
      <c r="H61">
        <v>17</v>
      </c>
      <c r="I61">
        <v>43</v>
      </c>
      <c r="J61">
        <v>5</v>
      </c>
      <c r="K61">
        <v>4</v>
      </c>
      <c r="L61" s="1">
        <v>42390</v>
      </c>
      <c r="M61" s="1"/>
      <c r="N61" t="s">
        <v>49</v>
      </c>
    </row>
    <row r="62" spans="1:14" x14ac:dyDescent="0.25">
      <c r="A62">
        <v>1061</v>
      </c>
      <c r="B62">
        <v>53</v>
      </c>
      <c r="C62" t="s">
        <v>32</v>
      </c>
      <c r="D62" t="s">
        <v>27</v>
      </c>
      <c r="E62" t="s">
        <v>12</v>
      </c>
      <c r="F62" t="s">
        <v>17</v>
      </c>
      <c r="G62">
        <v>94123</v>
      </c>
      <c r="H62">
        <v>15</v>
      </c>
      <c r="I62">
        <v>47</v>
      </c>
      <c r="J62">
        <v>2</v>
      </c>
      <c r="K62">
        <v>1</v>
      </c>
      <c r="L62" s="1">
        <v>44018</v>
      </c>
      <c r="M62" s="1">
        <v>45637</v>
      </c>
      <c r="N62" t="s">
        <v>50</v>
      </c>
    </row>
    <row r="63" spans="1:14" x14ac:dyDescent="0.25">
      <c r="A63">
        <v>1062</v>
      </c>
      <c r="B63">
        <v>45</v>
      </c>
      <c r="C63" t="s">
        <v>32</v>
      </c>
      <c r="D63" t="s">
        <v>23</v>
      </c>
      <c r="E63" t="s">
        <v>12</v>
      </c>
      <c r="F63" t="s">
        <v>18</v>
      </c>
      <c r="G63">
        <v>97855</v>
      </c>
      <c r="H63">
        <v>8</v>
      </c>
      <c r="I63">
        <v>59</v>
      </c>
      <c r="J63">
        <v>5</v>
      </c>
      <c r="K63">
        <v>6</v>
      </c>
      <c r="L63" s="1">
        <v>44917</v>
      </c>
      <c r="M63" s="1">
        <v>42374</v>
      </c>
      <c r="N63" t="s">
        <v>50</v>
      </c>
    </row>
    <row r="64" spans="1:14" x14ac:dyDescent="0.25">
      <c r="A64">
        <v>1063</v>
      </c>
      <c r="B64">
        <v>27</v>
      </c>
      <c r="C64" t="s">
        <v>32</v>
      </c>
      <c r="D64" t="s">
        <v>27</v>
      </c>
      <c r="E64" t="s">
        <v>14</v>
      </c>
      <c r="F64" t="s">
        <v>18</v>
      </c>
      <c r="G64">
        <v>46218</v>
      </c>
      <c r="H64">
        <v>21</v>
      </c>
      <c r="I64">
        <v>53</v>
      </c>
      <c r="K64">
        <v>2</v>
      </c>
      <c r="L64" s="1">
        <v>42191</v>
      </c>
      <c r="M64" s="1">
        <v>43999</v>
      </c>
      <c r="N64" t="s">
        <v>50</v>
      </c>
    </row>
    <row r="65" spans="1:14" x14ac:dyDescent="0.25">
      <c r="A65">
        <v>1064</v>
      </c>
      <c r="B65">
        <v>60</v>
      </c>
      <c r="C65" t="s">
        <v>32</v>
      </c>
      <c r="D65" t="s">
        <v>23</v>
      </c>
      <c r="E65" t="s">
        <v>12</v>
      </c>
      <c r="F65" t="s">
        <v>29</v>
      </c>
      <c r="G65">
        <v>85877</v>
      </c>
      <c r="H65">
        <v>25</v>
      </c>
      <c r="I65">
        <v>49</v>
      </c>
      <c r="J65">
        <v>4</v>
      </c>
      <c r="K65">
        <v>2</v>
      </c>
      <c r="L65" s="1">
        <v>44966</v>
      </c>
      <c r="M65" s="1">
        <v>42371</v>
      </c>
      <c r="N65" t="s">
        <v>50</v>
      </c>
    </row>
    <row r="66" spans="1:14" x14ac:dyDescent="0.25">
      <c r="A66">
        <v>1065</v>
      </c>
      <c r="B66">
        <v>22</v>
      </c>
      <c r="C66" t="s">
        <v>31</v>
      </c>
      <c r="D66" t="s">
        <v>23</v>
      </c>
      <c r="E66" t="s">
        <v>28</v>
      </c>
      <c r="F66" t="s">
        <v>26</v>
      </c>
      <c r="G66">
        <v>61990</v>
      </c>
      <c r="H66">
        <v>9</v>
      </c>
      <c r="I66">
        <v>22</v>
      </c>
      <c r="J66">
        <v>5</v>
      </c>
      <c r="K66">
        <v>9</v>
      </c>
      <c r="L66" s="1">
        <v>43764</v>
      </c>
      <c r="M66" s="1"/>
      <c r="N66" t="s">
        <v>49</v>
      </c>
    </row>
    <row r="67" spans="1:14" x14ac:dyDescent="0.25">
      <c r="A67">
        <v>1066</v>
      </c>
      <c r="B67">
        <v>35</v>
      </c>
      <c r="C67" t="s">
        <v>31</v>
      </c>
      <c r="D67" t="s">
        <v>27</v>
      </c>
      <c r="E67" t="s">
        <v>20</v>
      </c>
      <c r="F67" t="s">
        <v>45</v>
      </c>
      <c r="G67">
        <v>58879</v>
      </c>
      <c r="H67">
        <v>13</v>
      </c>
      <c r="I67">
        <v>38</v>
      </c>
      <c r="J67">
        <v>4</v>
      </c>
      <c r="K67">
        <v>1</v>
      </c>
      <c r="L67" s="1">
        <v>43795</v>
      </c>
      <c r="M67" s="1">
        <v>44412</v>
      </c>
      <c r="N67" t="s">
        <v>50</v>
      </c>
    </row>
    <row r="68" spans="1:14" x14ac:dyDescent="0.25">
      <c r="A68">
        <v>1067</v>
      </c>
      <c r="B68">
        <v>24</v>
      </c>
      <c r="C68" t="s">
        <v>32</v>
      </c>
      <c r="D68" t="s">
        <v>27</v>
      </c>
      <c r="E68" t="s">
        <v>14</v>
      </c>
      <c r="F68" t="s">
        <v>15</v>
      </c>
      <c r="G68">
        <v>75413</v>
      </c>
      <c r="H68">
        <v>6</v>
      </c>
      <c r="I68">
        <v>46</v>
      </c>
      <c r="J68">
        <v>5</v>
      </c>
      <c r="K68">
        <v>7</v>
      </c>
      <c r="L68" s="1">
        <v>42628</v>
      </c>
      <c r="M68" s="1">
        <v>45245</v>
      </c>
      <c r="N68" t="s">
        <v>50</v>
      </c>
    </row>
    <row r="69" spans="1:14" x14ac:dyDescent="0.25">
      <c r="A69">
        <v>1068</v>
      </c>
      <c r="B69">
        <v>42</v>
      </c>
      <c r="C69" t="s">
        <v>32</v>
      </c>
      <c r="D69" t="s">
        <v>19</v>
      </c>
      <c r="E69" t="s">
        <v>20</v>
      </c>
      <c r="F69" t="s">
        <v>26</v>
      </c>
      <c r="G69">
        <v>74982</v>
      </c>
      <c r="H69">
        <v>2</v>
      </c>
      <c r="I69">
        <v>23</v>
      </c>
      <c r="J69">
        <v>2</v>
      </c>
      <c r="K69">
        <v>8</v>
      </c>
      <c r="L69" s="1">
        <v>44878</v>
      </c>
      <c r="M69" s="1">
        <v>44767</v>
      </c>
      <c r="N69" t="s">
        <v>50</v>
      </c>
    </row>
    <row r="70" spans="1:14" x14ac:dyDescent="0.25">
      <c r="A70">
        <v>1069</v>
      </c>
      <c r="B70">
        <v>43</v>
      </c>
      <c r="C70" t="s">
        <v>31</v>
      </c>
      <c r="D70" t="s">
        <v>13</v>
      </c>
      <c r="E70" t="s">
        <v>14</v>
      </c>
      <c r="F70" t="s">
        <v>21</v>
      </c>
      <c r="G70">
        <v>55241</v>
      </c>
      <c r="H70">
        <v>23</v>
      </c>
      <c r="I70">
        <v>12</v>
      </c>
      <c r="J70">
        <v>4</v>
      </c>
      <c r="K70">
        <v>3</v>
      </c>
      <c r="L70" s="1">
        <v>44625</v>
      </c>
      <c r="M70" s="1"/>
      <c r="N70" t="s">
        <v>49</v>
      </c>
    </row>
    <row r="71" spans="1:14" x14ac:dyDescent="0.25">
      <c r="A71">
        <v>1070</v>
      </c>
      <c r="B71">
        <v>26</v>
      </c>
      <c r="C71" t="s">
        <v>32</v>
      </c>
      <c r="D71" t="s">
        <v>27</v>
      </c>
      <c r="E71" t="s">
        <v>12</v>
      </c>
      <c r="F71" t="s">
        <v>15</v>
      </c>
      <c r="G71">
        <v>89995</v>
      </c>
      <c r="H71">
        <v>14</v>
      </c>
      <c r="I71">
        <v>43</v>
      </c>
      <c r="K71">
        <v>5</v>
      </c>
      <c r="L71" s="1">
        <v>44988</v>
      </c>
      <c r="M71" s="1"/>
      <c r="N71" t="s">
        <v>49</v>
      </c>
    </row>
    <row r="72" spans="1:14" x14ac:dyDescent="0.25">
      <c r="A72">
        <v>1071</v>
      </c>
      <c r="B72">
        <v>60</v>
      </c>
      <c r="C72" t="s">
        <v>31</v>
      </c>
      <c r="D72" t="s">
        <v>27</v>
      </c>
      <c r="E72" t="s">
        <v>25</v>
      </c>
      <c r="F72" t="s">
        <v>15</v>
      </c>
      <c r="G72">
        <v>72619</v>
      </c>
      <c r="H72">
        <v>27</v>
      </c>
      <c r="I72">
        <v>11</v>
      </c>
      <c r="J72">
        <v>4</v>
      </c>
      <c r="K72">
        <v>4</v>
      </c>
      <c r="L72" s="1">
        <v>44671</v>
      </c>
      <c r="M72" s="1">
        <v>43179</v>
      </c>
      <c r="N72" t="s">
        <v>50</v>
      </c>
    </row>
    <row r="73" spans="1:14" x14ac:dyDescent="0.25">
      <c r="A73">
        <v>1072</v>
      </c>
      <c r="B73">
        <v>53</v>
      </c>
      <c r="C73" t="s">
        <v>32</v>
      </c>
      <c r="D73" t="s">
        <v>13</v>
      </c>
      <c r="E73" t="s">
        <v>25</v>
      </c>
      <c r="F73" t="s">
        <v>21</v>
      </c>
      <c r="G73">
        <v>79699</v>
      </c>
      <c r="H73">
        <v>21</v>
      </c>
      <c r="I73">
        <v>51</v>
      </c>
      <c r="J73">
        <v>4</v>
      </c>
      <c r="K73">
        <v>3</v>
      </c>
      <c r="L73" s="1">
        <v>43850</v>
      </c>
      <c r="M73" s="1"/>
      <c r="N73" t="s">
        <v>49</v>
      </c>
    </row>
    <row r="74" spans="1:14" x14ac:dyDescent="0.25">
      <c r="A74">
        <v>1073</v>
      </c>
      <c r="B74">
        <v>48</v>
      </c>
      <c r="C74" t="s">
        <v>32</v>
      </c>
      <c r="D74" t="s">
        <v>16</v>
      </c>
      <c r="E74" t="s">
        <v>28</v>
      </c>
      <c r="F74" t="s">
        <v>21</v>
      </c>
      <c r="G74">
        <v>55102</v>
      </c>
      <c r="H74">
        <v>12</v>
      </c>
      <c r="I74">
        <v>34</v>
      </c>
      <c r="J74">
        <v>2</v>
      </c>
      <c r="K74">
        <v>9</v>
      </c>
      <c r="L74" s="1">
        <v>44718</v>
      </c>
      <c r="M74" s="1"/>
      <c r="N74" t="s">
        <v>49</v>
      </c>
    </row>
    <row r="75" spans="1:14" x14ac:dyDescent="0.25">
      <c r="A75">
        <v>1074</v>
      </c>
      <c r="B75">
        <v>24</v>
      </c>
      <c r="C75" t="s">
        <v>32</v>
      </c>
      <c r="D75" t="s">
        <v>22</v>
      </c>
      <c r="E75" t="s">
        <v>20</v>
      </c>
      <c r="F75" t="s">
        <v>29</v>
      </c>
      <c r="G75">
        <v>91120</v>
      </c>
      <c r="H75">
        <v>0</v>
      </c>
      <c r="I75">
        <v>0</v>
      </c>
      <c r="J75">
        <v>2</v>
      </c>
      <c r="K75">
        <v>6</v>
      </c>
      <c r="L75" s="1">
        <v>44687</v>
      </c>
      <c r="M75" s="1"/>
      <c r="N75" t="s">
        <v>49</v>
      </c>
    </row>
    <row r="76" spans="1:14" x14ac:dyDescent="0.25">
      <c r="A76">
        <v>1075</v>
      </c>
      <c r="B76">
        <v>56</v>
      </c>
      <c r="C76" t="s">
        <v>31</v>
      </c>
      <c r="D76" t="s">
        <v>23</v>
      </c>
      <c r="E76" t="s">
        <v>20</v>
      </c>
      <c r="F76" t="s">
        <v>17</v>
      </c>
      <c r="G76">
        <v>108483</v>
      </c>
      <c r="H76">
        <v>0</v>
      </c>
      <c r="I76">
        <v>45</v>
      </c>
      <c r="J76">
        <v>3</v>
      </c>
      <c r="K76">
        <v>4</v>
      </c>
      <c r="L76" s="1">
        <v>42690</v>
      </c>
      <c r="M76" s="1"/>
      <c r="N76" t="s">
        <v>49</v>
      </c>
    </row>
    <row r="77" spans="1:14" x14ac:dyDescent="0.25">
      <c r="A77">
        <v>1076</v>
      </c>
      <c r="B77">
        <v>44</v>
      </c>
      <c r="C77" t="s">
        <v>32</v>
      </c>
      <c r="D77" t="s">
        <v>27</v>
      </c>
      <c r="E77" t="s">
        <v>12</v>
      </c>
      <c r="F77" t="s">
        <v>29</v>
      </c>
      <c r="G77">
        <v>106302</v>
      </c>
      <c r="H77">
        <v>18</v>
      </c>
      <c r="I77">
        <v>35</v>
      </c>
      <c r="K77">
        <v>5</v>
      </c>
      <c r="L77" s="1">
        <v>42756</v>
      </c>
      <c r="M77" s="1"/>
      <c r="N77" t="s">
        <v>49</v>
      </c>
    </row>
    <row r="78" spans="1:14" x14ac:dyDescent="0.25">
      <c r="A78">
        <v>1077</v>
      </c>
      <c r="B78">
        <v>52</v>
      </c>
      <c r="C78" t="s">
        <v>32</v>
      </c>
      <c r="D78" t="s">
        <v>27</v>
      </c>
      <c r="E78" t="s">
        <v>14</v>
      </c>
      <c r="F78" t="s">
        <v>26</v>
      </c>
      <c r="G78">
        <v>95950</v>
      </c>
      <c r="H78">
        <v>24</v>
      </c>
      <c r="I78">
        <v>51</v>
      </c>
      <c r="J78">
        <v>1</v>
      </c>
      <c r="K78">
        <v>7</v>
      </c>
      <c r="L78" s="1">
        <v>42908</v>
      </c>
      <c r="M78" s="1">
        <v>43501</v>
      </c>
      <c r="N78" t="s">
        <v>50</v>
      </c>
    </row>
    <row r="79" spans="1:14" x14ac:dyDescent="0.25">
      <c r="A79">
        <v>1078</v>
      </c>
      <c r="B79">
        <v>56</v>
      </c>
      <c r="C79" t="s">
        <v>32</v>
      </c>
      <c r="D79" t="s">
        <v>27</v>
      </c>
      <c r="E79" t="s">
        <v>25</v>
      </c>
      <c r="F79" t="s">
        <v>45</v>
      </c>
      <c r="G79">
        <v>72636</v>
      </c>
      <c r="H79">
        <v>14</v>
      </c>
      <c r="I79">
        <v>39</v>
      </c>
      <c r="J79">
        <v>4</v>
      </c>
      <c r="K79">
        <v>2</v>
      </c>
      <c r="L79" s="1">
        <v>45316</v>
      </c>
      <c r="M79" s="1"/>
      <c r="N79" t="s">
        <v>49</v>
      </c>
    </row>
    <row r="80" spans="1:14" x14ac:dyDescent="0.25">
      <c r="A80">
        <v>1079</v>
      </c>
      <c r="B80">
        <v>26</v>
      </c>
      <c r="C80" t="s">
        <v>31</v>
      </c>
      <c r="D80" t="s">
        <v>23</v>
      </c>
      <c r="E80" t="s">
        <v>12</v>
      </c>
      <c r="F80" t="s">
        <v>29</v>
      </c>
      <c r="G80">
        <v>57476</v>
      </c>
      <c r="H80">
        <v>6</v>
      </c>
      <c r="I80">
        <v>56</v>
      </c>
      <c r="J80">
        <v>3</v>
      </c>
      <c r="K80">
        <v>6</v>
      </c>
      <c r="L80" s="1">
        <v>42416</v>
      </c>
      <c r="M80" s="1">
        <v>45126</v>
      </c>
      <c r="N80" t="s">
        <v>50</v>
      </c>
    </row>
    <row r="81" spans="1:14" x14ac:dyDescent="0.25">
      <c r="A81">
        <v>1080</v>
      </c>
      <c r="B81">
        <v>27</v>
      </c>
      <c r="C81" t="s">
        <v>31</v>
      </c>
      <c r="D81" t="s">
        <v>27</v>
      </c>
      <c r="E81" t="s">
        <v>12</v>
      </c>
      <c r="F81" t="s">
        <v>18</v>
      </c>
      <c r="G81">
        <v>93371</v>
      </c>
      <c r="H81">
        <v>26</v>
      </c>
      <c r="I81">
        <v>53</v>
      </c>
      <c r="J81">
        <v>3</v>
      </c>
      <c r="K81">
        <v>3</v>
      </c>
      <c r="L81" s="1">
        <v>45238</v>
      </c>
      <c r="M81" s="1"/>
      <c r="N81" t="s">
        <v>49</v>
      </c>
    </row>
    <row r="82" spans="1:14" x14ac:dyDescent="0.25">
      <c r="A82">
        <v>1081</v>
      </c>
      <c r="B82">
        <v>45</v>
      </c>
      <c r="C82" t="s">
        <v>31</v>
      </c>
      <c r="D82" t="s">
        <v>13</v>
      </c>
      <c r="E82" t="s">
        <v>12</v>
      </c>
      <c r="F82" t="s">
        <v>29</v>
      </c>
      <c r="G82">
        <v>88161</v>
      </c>
      <c r="H82">
        <v>10</v>
      </c>
      <c r="I82">
        <v>19</v>
      </c>
      <c r="J82">
        <v>4</v>
      </c>
      <c r="K82">
        <v>3</v>
      </c>
      <c r="L82" s="1">
        <v>42794</v>
      </c>
      <c r="M82" s="1"/>
      <c r="N82" t="s">
        <v>49</v>
      </c>
    </row>
    <row r="83" spans="1:14" x14ac:dyDescent="0.25">
      <c r="A83">
        <v>1082</v>
      </c>
      <c r="B83">
        <v>36</v>
      </c>
      <c r="C83" t="s">
        <v>32</v>
      </c>
      <c r="D83" t="s">
        <v>16</v>
      </c>
      <c r="E83" t="s">
        <v>25</v>
      </c>
      <c r="F83" t="s">
        <v>45</v>
      </c>
      <c r="G83">
        <v>87302</v>
      </c>
      <c r="H83">
        <v>1</v>
      </c>
      <c r="I83">
        <v>20</v>
      </c>
      <c r="J83">
        <v>1</v>
      </c>
      <c r="K83">
        <v>1</v>
      </c>
      <c r="L83" s="1">
        <v>42057</v>
      </c>
      <c r="M83" s="1"/>
      <c r="N83" t="s">
        <v>49</v>
      </c>
    </row>
    <row r="84" spans="1:14" x14ac:dyDescent="0.25">
      <c r="A84">
        <v>1083</v>
      </c>
      <c r="B84">
        <v>23</v>
      </c>
      <c r="C84" t="s">
        <v>32</v>
      </c>
      <c r="D84" t="s">
        <v>23</v>
      </c>
      <c r="E84" t="s">
        <v>28</v>
      </c>
      <c r="F84" t="s">
        <v>29</v>
      </c>
      <c r="G84">
        <v>86434</v>
      </c>
      <c r="H84">
        <v>25</v>
      </c>
      <c r="I84">
        <v>57</v>
      </c>
      <c r="J84">
        <v>5</v>
      </c>
      <c r="K84">
        <v>6</v>
      </c>
      <c r="L84" s="1">
        <v>45292</v>
      </c>
      <c r="M84" s="1"/>
      <c r="N84" t="s">
        <v>49</v>
      </c>
    </row>
    <row r="85" spans="1:14" x14ac:dyDescent="0.25">
      <c r="A85">
        <v>1084</v>
      </c>
      <c r="B85">
        <v>24</v>
      </c>
      <c r="C85" t="s">
        <v>32</v>
      </c>
      <c r="D85" t="s">
        <v>23</v>
      </c>
      <c r="E85" t="s">
        <v>20</v>
      </c>
      <c r="F85" t="s">
        <v>15</v>
      </c>
      <c r="G85">
        <v>50405</v>
      </c>
      <c r="H85">
        <v>17</v>
      </c>
      <c r="I85">
        <v>59</v>
      </c>
      <c r="K85">
        <v>5</v>
      </c>
      <c r="L85" s="1">
        <v>44765</v>
      </c>
      <c r="M85" s="1"/>
      <c r="N85" t="s">
        <v>49</v>
      </c>
    </row>
    <row r="86" spans="1:14" x14ac:dyDescent="0.25">
      <c r="A86">
        <v>1085</v>
      </c>
      <c r="B86">
        <v>54</v>
      </c>
      <c r="C86" t="s">
        <v>32</v>
      </c>
      <c r="D86" t="s">
        <v>16</v>
      </c>
      <c r="E86" t="s">
        <v>20</v>
      </c>
      <c r="F86" t="s">
        <v>15</v>
      </c>
      <c r="G86">
        <v>97369</v>
      </c>
      <c r="H86">
        <v>26</v>
      </c>
      <c r="I86">
        <v>26</v>
      </c>
      <c r="J86">
        <v>5</v>
      </c>
      <c r="K86">
        <v>1</v>
      </c>
      <c r="L86" s="1">
        <v>44350</v>
      </c>
      <c r="M86" s="1"/>
      <c r="N86" t="s">
        <v>49</v>
      </c>
    </row>
    <row r="87" spans="1:14" x14ac:dyDescent="0.25">
      <c r="A87">
        <v>1086</v>
      </c>
      <c r="B87">
        <v>44</v>
      </c>
      <c r="C87" t="s">
        <v>31</v>
      </c>
      <c r="D87" t="s">
        <v>27</v>
      </c>
      <c r="E87" t="s">
        <v>28</v>
      </c>
      <c r="F87" t="s">
        <v>45</v>
      </c>
      <c r="G87">
        <v>86747</v>
      </c>
      <c r="H87">
        <v>16</v>
      </c>
      <c r="I87">
        <v>33</v>
      </c>
      <c r="J87">
        <v>5</v>
      </c>
      <c r="K87">
        <v>10</v>
      </c>
      <c r="L87" s="1">
        <v>44954</v>
      </c>
      <c r="M87" s="1"/>
      <c r="N87" t="s">
        <v>49</v>
      </c>
    </row>
    <row r="88" spans="1:14" x14ac:dyDescent="0.25">
      <c r="A88">
        <v>1087</v>
      </c>
      <c r="B88">
        <v>51</v>
      </c>
      <c r="C88" t="s">
        <v>32</v>
      </c>
      <c r="D88" t="s">
        <v>22</v>
      </c>
      <c r="E88" t="s">
        <v>25</v>
      </c>
      <c r="F88" t="s">
        <v>45</v>
      </c>
      <c r="G88">
        <v>45374</v>
      </c>
      <c r="H88">
        <v>10</v>
      </c>
      <c r="I88">
        <v>39</v>
      </c>
      <c r="J88">
        <v>2</v>
      </c>
      <c r="K88">
        <v>2</v>
      </c>
      <c r="L88" s="1">
        <v>45386</v>
      </c>
      <c r="M88" s="1">
        <v>44570</v>
      </c>
      <c r="N88" t="s">
        <v>50</v>
      </c>
    </row>
    <row r="89" spans="1:14" x14ac:dyDescent="0.25">
      <c r="A89">
        <v>1088</v>
      </c>
      <c r="B89">
        <v>56</v>
      </c>
      <c r="C89" t="s">
        <v>31</v>
      </c>
      <c r="D89" t="s">
        <v>23</v>
      </c>
      <c r="E89" t="s">
        <v>12</v>
      </c>
      <c r="F89" t="s">
        <v>21</v>
      </c>
      <c r="G89">
        <v>99575</v>
      </c>
      <c r="H89">
        <v>15</v>
      </c>
      <c r="I89">
        <v>3</v>
      </c>
      <c r="J89">
        <v>5</v>
      </c>
      <c r="K89">
        <v>9</v>
      </c>
      <c r="L89" s="1">
        <v>43581</v>
      </c>
      <c r="M89" s="1">
        <v>43566</v>
      </c>
      <c r="N89" t="s">
        <v>50</v>
      </c>
    </row>
    <row r="90" spans="1:14" x14ac:dyDescent="0.25">
      <c r="A90">
        <v>1089</v>
      </c>
      <c r="B90">
        <v>48</v>
      </c>
      <c r="C90" t="s">
        <v>32</v>
      </c>
      <c r="D90" t="s">
        <v>27</v>
      </c>
      <c r="E90" t="s">
        <v>28</v>
      </c>
      <c r="F90" t="s">
        <v>29</v>
      </c>
      <c r="G90">
        <v>101696</v>
      </c>
      <c r="H90">
        <v>21</v>
      </c>
      <c r="I90">
        <v>52</v>
      </c>
      <c r="J90">
        <v>3</v>
      </c>
      <c r="K90">
        <v>10</v>
      </c>
      <c r="L90" s="1">
        <v>43559</v>
      </c>
      <c r="M90" s="1">
        <v>44342</v>
      </c>
      <c r="N90" t="s">
        <v>50</v>
      </c>
    </row>
    <row r="91" spans="1:14" x14ac:dyDescent="0.25">
      <c r="A91">
        <v>1090</v>
      </c>
      <c r="B91">
        <v>46</v>
      </c>
      <c r="C91" t="s">
        <v>31</v>
      </c>
      <c r="D91" t="s">
        <v>22</v>
      </c>
      <c r="E91" t="s">
        <v>20</v>
      </c>
      <c r="F91" t="s">
        <v>26</v>
      </c>
      <c r="G91">
        <v>102594</v>
      </c>
      <c r="H91">
        <v>7</v>
      </c>
      <c r="I91">
        <v>13</v>
      </c>
      <c r="J91">
        <v>1</v>
      </c>
      <c r="K91">
        <v>1</v>
      </c>
      <c r="L91" s="1">
        <v>42576</v>
      </c>
      <c r="M91" s="1"/>
      <c r="N91" t="s">
        <v>49</v>
      </c>
    </row>
    <row r="92" spans="1:14" x14ac:dyDescent="0.25">
      <c r="A92">
        <v>1091</v>
      </c>
      <c r="B92">
        <v>51</v>
      </c>
      <c r="C92" t="s">
        <v>31</v>
      </c>
      <c r="D92" t="s">
        <v>27</v>
      </c>
      <c r="E92" t="s">
        <v>25</v>
      </c>
      <c r="F92" t="s">
        <v>18</v>
      </c>
      <c r="G92">
        <v>65304</v>
      </c>
      <c r="H92">
        <v>27</v>
      </c>
      <c r="I92">
        <v>8</v>
      </c>
      <c r="J92">
        <v>5</v>
      </c>
      <c r="K92">
        <v>10</v>
      </c>
      <c r="L92" s="1">
        <v>43853</v>
      </c>
      <c r="M92" s="1"/>
      <c r="N92" t="s">
        <v>49</v>
      </c>
    </row>
    <row r="93" spans="1:14" x14ac:dyDescent="0.25">
      <c r="A93">
        <v>1092</v>
      </c>
      <c r="B93">
        <v>54</v>
      </c>
      <c r="C93" t="s">
        <v>31</v>
      </c>
      <c r="D93" t="s">
        <v>13</v>
      </c>
      <c r="E93" t="s">
        <v>25</v>
      </c>
      <c r="F93" t="s">
        <v>17</v>
      </c>
      <c r="G93">
        <v>82648</v>
      </c>
      <c r="H93">
        <v>1</v>
      </c>
      <c r="I93">
        <v>9</v>
      </c>
      <c r="J93">
        <v>2</v>
      </c>
      <c r="K93">
        <v>8</v>
      </c>
      <c r="L93" s="1">
        <v>45082</v>
      </c>
      <c r="M93" s="1"/>
      <c r="N93" t="s">
        <v>49</v>
      </c>
    </row>
    <row r="94" spans="1:14" x14ac:dyDescent="0.25">
      <c r="A94">
        <v>1093</v>
      </c>
      <c r="B94">
        <v>43</v>
      </c>
      <c r="C94" t="s">
        <v>32</v>
      </c>
      <c r="D94" t="s">
        <v>16</v>
      </c>
      <c r="E94" t="s">
        <v>14</v>
      </c>
      <c r="F94" t="s">
        <v>26</v>
      </c>
      <c r="G94">
        <v>83591</v>
      </c>
      <c r="H94">
        <v>18</v>
      </c>
      <c r="I94">
        <v>50</v>
      </c>
      <c r="K94">
        <v>6</v>
      </c>
      <c r="L94" s="1">
        <v>44013</v>
      </c>
      <c r="M94" s="1">
        <v>44658</v>
      </c>
      <c r="N94" t="s">
        <v>50</v>
      </c>
    </row>
    <row r="95" spans="1:14" x14ac:dyDescent="0.25">
      <c r="A95">
        <v>1094</v>
      </c>
      <c r="B95">
        <v>53</v>
      </c>
      <c r="C95" t="s">
        <v>32</v>
      </c>
      <c r="D95" t="s">
        <v>22</v>
      </c>
      <c r="E95" t="s">
        <v>14</v>
      </c>
      <c r="F95" t="s">
        <v>17</v>
      </c>
      <c r="G95">
        <v>52987</v>
      </c>
      <c r="H95">
        <v>13</v>
      </c>
      <c r="I95">
        <v>27</v>
      </c>
      <c r="J95">
        <v>5</v>
      </c>
      <c r="K95">
        <v>5</v>
      </c>
      <c r="L95" s="1">
        <v>43670</v>
      </c>
      <c r="M95" s="1">
        <v>44414</v>
      </c>
      <c r="N95" t="s">
        <v>50</v>
      </c>
    </row>
    <row r="96" spans="1:14" x14ac:dyDescent="0.25">
      <c r="A96">
        <v>1095</v>
      </c>
      <c r="B96">
        <v>33</v>
      </c>
      <c r="C96" t="s">
        <v>31</v>
      </c>
      <c r="D96" t="s">
        <v>13</v>
      </c>
      <c r="E96" t="s">
        <v>12</v>
      </c>
      <c r="F96" t="s">
        <v>18</v>
      </c>
      <c r="G96">
        <v>74523</v>
      </c>
      <c r="H96">
        <v>20</v>
      </c>
      <c r="I96">
        <v>4</v>
      </c>
      <c r="J96">
        <v>3</v>
      </c>
      <c r="K96">
        <v>1</v>
      </c>
      <c r="L96" s="1">
        <v>44318</v>
      </c>
      <c r="M96" s="1"/>
      <c r="N96" t="s">
        <v>49</v>
      </c>
    </row>
    <row r="97" spans="1:14" x14ac:dyDescent="0.25">
      <c r="A97">
        <v>1096</v>
      </c>
      <c r="B97">
        <v>43</v>
      </c>
      <c r="C97" t="s">
        <v>31</v>
      </c>
      <c r="D97" t="s">
        <v>22</v>
      </c>
      <c r="E97" t="s">
        <v>20</v>
      </c>
      <c r="F97" t="s">
        <v>18</v>
      </c>
      <c r="G97">
        <v>74446</v>
      </c>
      <c r="H97">
        <v>3</v>
      </c>
      <c r="I97">
        <v>22</v>
      </c>
      <c r="J97">
        <v>4</v>
      </c>
      <c r="K97">
        <v>3</v>
      </c>
      <c r="L97" s="1">
        <v>43247</v>
      </c>
      <c r="M97" s="1"/>
      <c r="N97" t="s">
        <v>49</v>
      </c>
    </row>
    <row r="98" spans="1:14" x14ac:dyDescent="0.25">
      <c r="A98">
        <v>1097</v>
      </c>
      <c r="B98">
        <v>59</v>
      </c>
      <c r="C98" t="s">
        <v>32</v>
      </c>
      <c r="D98" t="s">
        <v>16</v>
      </c>
      <c r="E98" t="s">
        <v>14</v>
      </c>
      <c r="F98" t="s">
        <v>15</v>
      </c>
      <c r="G98">
        <v>94645</v>
      </c>
      <c r="H98">
        <v>23</v>
      </c>
      <c r="I98">
        <v>14</v>
      </c>
      <c r="J98">
        <v>4</v>
      </c>
      <c r="K98">
        <v>1</v>
      </c>
      <c r="L98" s="1">
        <v>44826</v>
      </c>
      <c r="M98" s="1"/>
      <c r="N98" t="s">
        <v>49</v>
      </c>
    </row>
    <row r="99" spans="1:14" x14ac:dyDescent="0.25">
      <c r="A99">
        <v>1098</v>
      </c>
      <c r="B99">
        <v>22</v>
      </c>
      <c r="C99" t="s">
        <v>32</v>
      </c>
      <c r="D99" t="s">
        <v>23</v>
      </c>
      <c r="E99" t="s">
        <v>20</v>
      </c>
      <c r="F99" t="s">
        <v>45</v>
      </c>
      <c r="G99">
        <v>47366</v>
      </c>
      <c r="H99">
        <v>17</v>
      </c>
      <c r="I99">
        <v>13</v>
      </c>
      <c r="J99">
        <v>2</v>
      </c>
      <c r="K99">
        <v>4</v>
      </c>
      <c r="L99" s="1">
        <v>44503</v>
      </c>
      <c r="M99" s="1">
        <v>43599</v>
      </c>
      <c r="N99" t="s">
        <v>50</v>
      </c>
    </row>
    <row r="100" spans="1:14" x14ac:dyDescent="0.25">
      <c r="A100">
        <v>1099</v>
      </c>
      <c r="B100">
        <v>34</v>
      </c>
      <c r="C100" t="s">
        <v>32</v>
      </c>
      <c r="D100" t="s">
        <v>23</v>
      </c>
      <c r="E100" t="s">
        <v>25</v>
      </c>
      <c r="F100" t="s">
        <v>29</v>
      </c>
      <c r="G100">
        <v>60164</v>
      </c>
      <c r="H100">
        <v>30</v>
      </c>
      <c r="I100">
        <v>24</v>
      </c>
      <c r="J100">
        <v>3</v>
      </c>
      <c r="K100">
        <v>3</v>
      </c>
      <c r="L100" s="1">
        <v>43906</v>
      </c>
      <c r="M100" s="1"/>
      <c r="N100" t="s">
        <v>49</v>
      </c>
    </row>
    <row r="101" spans="1:14" x14ac:dyDescent="0.25">
      <c r="A101">
        <v>1100</v>
      </c>
      <c r="B101">
        <v>35</v>
      </c>
      <c r="C101" t="s">
        <v>31</v>
      </c>
      <c r="D101" t="s">
        <v>19</v>
      </c>
      <c r="E101" t="s">
        <v>20</v>
      </c>
      <c r="F101" t="s">
        <v>29</v>
      </c>
      <c r="G101">
        <v>71862</v>
      </c>
      <c r="H101">
        <v>25</v>
      </c>
      <c r="I101">
        <v>46</v>
      </c>
      <c r="J101">
        <v>3</v>
      </c>
      <c r="K101">
        <v>9</v>
      </c>
      <c r="L101" s="1">
        <v>42156</v>
      </c>
      <c r="M101" s="1"/>
      <c r="N101" t="s">
        <v>49</v>
      </c>
    </row>
    <row r="102" spans="1:14" x14ac:dyDescent="0.25">
      <c r="A102">
        <v>1101</v>
      </c>
      <c r="B102">
        <v>48</v>
      </c>
      <c r="C102" t="s">
        <v>32</v>
      </c>
      <c r="D102" t="s">
        <v>22</v>
      </c>
      <c r="E102" t="s">
        <v>28</v>
      </c>
      <c r="F102" t="s">
        <v>15</v>
      </c>
      <c r="G102">
        <v>89395</v>
      </c>
      <c r="H102">
        <v>16</v>
      </c>
      <c r="I102">
        <v>3</v>
      </c>
      <c r="J102">
        <v>2</v>
      </c>
      <c r="K102">
        <v>7</v>
      </c>
      <c r="L102" s="1">
        <v>43709</v>
      </c>
      <c r="M102" s="1"/>
      <c r="N102" t="s">
        <v>49</v>
      </c>
    </row>
    <row r="103" spans="1:14" x14ac:dyDescent="0.25">
      <c r="A103">
        <v>1102</v>
      </c>
      <c r="B103">
        <v>45</v>
      </c>
      <c r="C103" t="s">
        <v>31</v>
      </c>
      <c r="D103" t="s">
        <v>27</v>
      </c>
      <c r="E103" t="s">
        <v>20</v>
      </c>
      <c r="F103" t="s">
        <v>18</v>
      </c>
      <c r="G103">
        <v>72318</v>
      </c>
      <c r="H103">
        <v>15</v>
      </c>
      <c r="I103">
        <v>52</v>
      </c>
      <c r="J103">
        <v>4</v>
      </c>
      <c r="K103">
        <v>7</v>
      </c>
      <c r="L103" s="1">
        <v>44251</v>
      </c>
      <c r="M103" s="1"/>
      <c r="N103" t="s">
        <v>49</v>
      </c>
    </row>
    <row r="104" spans="1:14" x14ac:dyDescent="0.25">
      <c r="A104">
        <v>1103</v>
      </c>
      <c r="B104">
        <v>28</v>
      </c>
      <c r="C104" t="s">
        <v>31</v>
      </c>
      <c r="D104" t="s">
        <v>27</v>
      </c>
      <c r="E104" t="s">
        <v>28</v>
      </c>
      <c r="F104" t="s">
        <v>17</v>
      </c>
      <c r="G104">
        <v>66232</v>
      </c>
      <c r="H104">
        <v>25</v>
      </c>
      <c r="I104">
        <v>33</v>
      </c>
      <c r="J104">
        <v>3</v>
      </c>
      <c r="K104">
        <v>4</v>
      </c>
      <c r="L104" s="1">
        <v>42100</v>
      </c>
      <c r="M104" s="1"/>
      <c r="N104" t="s">
        <v>49</v>
      </c>
    </row>
    <row r="105" spans="1:14" x14ac:dyDescent="0.25">
      <c r="A105">
        <v>1104</v>
      </c>
      <c r="B105">
        <v>58</v>
      </c>
      <c r="C105" t="s">
        <v>31</v>
      </c>
      <c r="D105" t="s">
        <v>22</v>
      </c>
      <c r="E105" t="s">
        <v>20</v>
      </c>
      <c r="F105" t="s">
        <v>45</v>
      </c>
      <c r="G105">
        <v>64240</v>
      </c>
      <c r="H105">
        <v>3</v>
      </c>
      <c r="I105">
        <v>17</v>
      </c>
      <c r="J105">
        <v>2</v>
      </c>
      <c r="K105">
        <v>9</v>
      </c>
      <c r="L105" s="1">
        <v>45529</v>
      </c>
      <c r="M105" s="1"/>
      <c r="N105" t="s">
        <v>49</v>
      </c>
    </row>
    <row r="106" spans="1:14" x14ac:dyDescent="0.25">
      <c r="A106">
        <v>1105</v>
      </c>
      <c r="B106">
        <v>55</v>
      </c>
      <c r="C106" t="s">
        <v>31</v>
      </c>
      <c r="D106" t="s">
        <v>13</v>
      </c>
      <c r="E106" t="s">
        <v>12</v>
      </c>
      <c r="F106" t="s">
        <v>45</v>
      </c>
      <c r="G106">
        <v>50073</v>
      </c>
      <c r="H106">
        <v>13</v>
      </c>
      <c r="I106">
        <v>37</v>
      </c>
      <c r="J106">
        <v>5</v>
      </c>
      <c r="K106">
        <v>7</v>
      </c>
      <c r="L106" s="1">
        <v>42689</v>
      </c>
      <c r="M106" s="1"/>
      <c r="N106" t="s">
        <v>49</v>
      </c>
    </row>
    <row r="107" spans="1:14" x14ac:dyDescent="0.25">
      <c r="A107">
        <v>1106</v>
      </c>
      <c r="B107">
        <v>30</v>
      </c>
      <c r="C107" t="s">
        <v>32</v>
      </c>
      <c r="D107" t="s">
        <v>23</v>
      </c>
      <c r="E107" t="s">
        <v>12</v>
      </c>
      <c r="F107" t="s">
        <v>29</v>
      </c>
      <c r="G107">
        <v>97985</v>
      </c>
      <c r="H107">
        <v>20</v>
      </c>
      <c r="I107">
        <v>24</v>
      </c>
      <c r="K107">
        <v>1</v>
      </c>
      <c r="L107" s="1">
        <v>43157</v>
      </c>
      <c r="M107" s="1"/>
      <c r="N107" t="s">
        <v>49</v>
      </c>
    </row>
    <row r="108" spans="1:14" x14ac:dyDescent="0.25">
      <c r="A108">
        <v>1107</v>
      </c>
      <c r="B108">
        <v>59</v>
      </c>
      <c r="C108" t="s">
        <v>31</v>
      </c>
      <c r="D108" t="s">
        <v>27</v>
      </c>
      <c r="E108" t="s">
        <v>14</v>
      </c>
      <c r="F108" t="s">
        <v>45</v>
      </c>
      <c r="G108">
        <v>56027</v>
      </c>
      <c r="H108">
        <v>14</v>
      </c>
      <c r="I108">
        <v>48</v>
      </c>
      <c r="J108">
        <v>1</v>
      </c>
      <c r="K108">
        <v>6</v>
      </c>
      <c r="L108" s="1">
        <v>43225</v>
      </c>
      <c r="M108" s="1">
        <v>43484</v>
      </c>
      <c r="N108" t="s">
        <v>50</v>
      </c>
    </row>
    <row r="109" spans="1:14" x14ac:dyDescent="0.25">
      <c r="A109">
        <v>1108</v>
      </c>
      <c r="B109">
        <v>26</v>
      </c>
      <c r="C109" t="s">
        <v>31</v>
      </c>
      <c r="D109" t="s">
        <v>22</v>
      </c>
      <c r="E109" t="s">
        <v>20</v>
      </c>
      <c r="F109" t="s">
        <v>17</v>
      </c>
      <c r="G109">
        <v>100291</v>
      </c>
      <c r="H109">
        <v>16</v>
      </c>
      <c r="I109">
        <v>51</v>
      </c>
      <c r="J109">
        <v>1</v>
      </c>
      <c r="K109">
        <v>1</v>
      </c>
      <c r="L109" s="1">
        <v>44003</v>
      </c>
      <c r="M109" s="1"/>
      <c r="N109" t="s">
        <v>49</v>
      </c>
    </row>
    <row r="110" spans="1:14" x14ac:dyDescent="0.25">
      <c r="A110">
        <v>1109</v>
      </c>
      <c r="B110">
        <v>34</v>
      </c>
      <c r="C110" t="s">
        <v>32</v>
      </c>
      <c r="D110" t="s">
        <v>23</v>
      </c>
      <c r="E110" t="s">
        <v>28</v>
      </c>
      <c r="F110" t="s">
        <v>15</v>
      </c>
      <c r="G110">
        <v>98907</v>
      </c>
      <c r="H110">
        <v>27</v>
      </c>
      <c r="I110">
        <v>33</v>
      </c>
      <c r="J110">
        <v>4</v>
      </c>
      <c r="K110">
        <v>3</v>
      </c>
      <c r="L110" s="1">
        <v>43854</v>
      </c>
      <c r="M110" s="1"/>
      <c r="N110" t="s">
        <v>49</v>
      </c>
    </row>
    <row r="111" spans="1:14" x14ac:dyDescent="0.25">
      <c r="A111">
        <v>1110</v>
      </c>
      <c r="B111">
        <v>28</v>
      </c>
      <c r="C111" t="s">
        <v>31</v>
      </c>
      <c r="D111" t="s">
        <v>16</v>
      </c>
      <c r="E111" t="s">
        <v>12</v>
      </c>
      <c r="F111" t="s">
        <v>18</v>
      </c>
      <c r="G111">
        <v>87540</v>
      </c>
      <c r="H111">
        <v>0</v>
      </c>
      <c r="I111">
        <v>10</v>
      </c>
      <c r="J111">
        <v>4</v>
      </c>
      <c r="K111">
        <v>5</v>
      </c>
      <c r="L111" s="1">
        <v>44402</v>
      </c>
      <c r="M111" s="1"/>
      <c r="N111" t="s">
        <v>49</v>
      </c>
    </row>
    <row r="112" spans="1:14" x14ac:dyDescent="0.25">
      <c r="A112">
        <v>1111</v>
      </c>
      <c r="B112">
        <v>41</v>
      </c>
      <c r="C112" t="s">
        <v>32</v>
      </c>
      <c r="D112" t="s">
        <v>13</v>
      </c>
      <c r="E112" t="s">
        <v>20</v>
      </c>
      <c r="F112" t="s">
        <v>45</v>
      </c>
      <c r="G112">
        <v>72592</v>
      </c>
      <c r="H112">
        <v>18</v>
      </c>
      <c r="I112">
        <v>15</v>
      </c>
      <c r="K112">
        <v>2</v>
      </c>
      <c r="L112" s="1">
        <v>43566</v>
      </c>
      <c r="M112" s="1"/>
      <c r="N112" t="s">
        <v>49</v>
      </c>
    </row>
    <row r="113" spans="1:14" x14ac:dyDescent="0.25">
      <c r="A113">
        <v>1112</v>
      </c>
      <c r="B113">
        <v>54</v>
      </c>
      <c r="C113" t="s">
        <v>32</v>
      </c>
      <c r="D113" t="s">
        <v>27</v>
      </c>
      <c r="E113" t="s">
        <v>14</v>
      </c>
      <c r="F113" t="s">
        <v>17</v>
      </c>
      <c r="G113">
        <v>56543</v>
      </c>
      <c r="H113">
        <v>22</v>
      </c>
      <c r="I113">
        <v>39</v>
      </c>
      <c r="J113">
        <v>1</v>
      </c>
      <c r="K113">
        <v>8</v>
      </c>
      <c r="L113" s="1">
        <v>43819</v>
      </c>
      <c r="M113" s="1"/>
      <c r="N113" t="s">
        <v>49</v>
      </c>
    </row>
    <row r="114" spans="1:14" x14ac:dyDescent="0.25">
      <c r="A114">
        <v>1113</v>
      </c>
      <c r="B114">
        <v>33</v>
      </c>
      <c r="C114" t="s">
        <v>31</v>
      </c>
      <c r="D114" t="s">
        <v>13</v>
      </c>
      <c r="E114" t="s">
        <v>12</v>
      </c>
      <c r="F114" t="s">
        <v>29</v>
      </c>
      <c r="G114">
        <v>47252</v>
      </c>
      <c r="H114">
        <v>10</v>
      </c>
      <c r="I114">
        <v>36</v>
      </c>
      <c r="J114">
        <v>2</v>
      </c>
      <c r="K114">
        <v>9</v>
      </c>
      <c r="L114" s="1">
        <v>44666</v>
      </c>
      <c r="M114" s="1"/>
      <c r="N114" t="s">
        <v>49</v>
      </c>
    </row>
    <row r="115" spans="1:14" x14ac:dyDescent="0.25">
      <c r="A115">
        <v>1114</v>
      </c>
      <c r="B115">
        <v>57</v>
      </c>
      <c r="C115" t="s">
        <v>31</v>
      </c>
      <c r="D115" t="s">
        <v>16</v>
      </c>
      <c r="E115" t="s">
        <v>25</v>
      </c>
      <c r="F115" t="s">
        <v>21</v>
      </c>
      <c r="G115">
        <v>89968</v>
      </c>
      <c r="H115">
        <v>9</v>
      </c>
      <c r="I115">
        <v>51</v>
      </c>
      <c r="J115">
        <v>5</v>
      </c>
      <c r="K115">
        <v>2</v>
      </c>
      <c r="L115" s="1">
        <v>42263</v>
      </c>
      <c r="M115" s="1"/>
      <c r="N115" t="s">
        <v>49</v>
      </c>
    </row>
    <row r="116" spans="1:14" x14ac:dyDescent="0.25">
      <c r="A116">
        <v>1115</v>
      </c>
      <c r="B116">
        <v>28</v>
      </c>
      <c r="C116" t="s">
        <v>32</v>
      </c>
      <c r="D116" t="s">
        <v>16</v>
      </c>
      <c r="E116" t="s">
        <v>14</v>
      </c>
      <c r="F116" t="s">
        <v>15</v>
      </c>
      <c r="G116">
        <v>83674</v>
      </c>
      <c r="H116">
        <v>23</v>
      </c>
      <c r="I116">
        <v>13</v>
      </c>
      <c r="J116">
        <v>2</v>
      </c>
      <c r="K116">
        <v>2</v>
      </c>
      <c r="L116" s="1">
        <v>44674</v>
      </c>
      <c r="M116" s="1"/>
      <c r="N116" t="s">
        <v>49</v>
      </c>
    </row>
    <row r="117" spans="1:14" x14ac:dyDescent="0.25">
      <c r="A117">
        <v>1116</v>
      </c>
      <c r="B117">
        <v>25</v>
      </c>
      <c r="C117" t="s">
        <v>32</v>
      </c>
      <c r="D117" t="s">
        <v>19</v>
      </c>
      <c r="E117" t="s">
        <v>20</v>
      </c>
      <c r="F117" t="s">
        <v>15</v>
      </c>
      <c r="G117">
        <v>45667</v>
      </c>
      <c r="H117">
        <v>29</v>
      </c>
      <c r="I117">
        <v>51</v>
      </c>
      <c r="J117">
        <v>2</v>
      </c>
      <c r="K117">
        <v>5</v>
      </c>
      <c r="L117" s="1">
        <v>42076</v>
      </c>
      <c r="M117" s="1"/>
      <c r="N117" t="s">
        <v>49</v>
      </c>
    </row>
    <row r="118" spans="1:14" x14ac:dyDescent="0.25">
      <c r="A118">
        <v>1117</v>
      </c>
      <c r="B118">
        <v>37</v>
      </c>
      <c r="C118" t="s">
        <v>32</v>
      </c>
      <c r="D118" t="s">
        <v>27</v>
      </c>
      <c r="E118" t="s">
        <v>12</v>
      </c>
      <c r="F118" t="s">
        <v>29</v>
      </c>
      <c r="G118">
        <v>57903</v>
      </c>
      <c r="H118">
        <v>29</v>
      </c>
      <c r="I118">
        <v>42</v>
      </c>
      <c r="J118">
        <v>4</v>
      </c>
      <c r="K118">
        <v>4</v>
      </c>
      <c r="L118" s="1">
        <v>42782</v>
      </c>
      <c r="M118" s="1"/>
      <c r="N118" t="s">
        <v>49</v>
      </c>
    </row>
    <row r="119" spans="1:14" x14ac:dyDescent="0.25">
      <c r="A119">
        <v>1118</v>
      </c>
      <c r="B119">
        <v>55</v>
      </c>
      <c r="C119" t="s">
        <v>31</v>
      </c>
      <c r="D119" t="s">
        <v>27</v>
      </c>
      <c r="E119" t="s">
        <v>14</v>
      </c>
      <c r="F119" t="s">
        <v>29</v>
      </c>
      <c r="G119">
        <v>86254</v>
      </c>
      <c r="H119">
        <v>16</v>
      </c>
      <c r="I119">
        <v>21</v>
      </c>
      <c r="J119">
        <v>4</v>
      </c>
      <c r="K119">
        <v>10</v>
      </c>
      <c r="L119" s="1">
        <v>43042</v>
      </c>
      <c r="M119" s="1"/>
      <c r="N119" t="s">
        <v>49</v>
      </c>
    </row>
    <row r="120" spans="1:14" x14ac:dyDescent="0.25">
      <c r="A120">
        <v>1119</v>
      </c>
      <c r="B120">
        <v>53</v>
      </c>
      <c r="C120" t="s">
        <v>31</v>
      </c>
      <c r="D120" t="s">
        <v>22</v>
      </c>
      <c r="E120" t="s">
        <v>20</v>
      </c>
      <c r="F120" t="s">
        <v>17</v>
      </c>
      <c r="G120">
        <v>96778</v>
      </c>
      <c r="H120">
        <v>28</v>
      </c>
      <c r="I120">
        <v>18</v>
      </c>
      <c r="J120">
        <v>1</v>
      </c>
      <c r="K120">
        <v>6</v>
      </c>
      <c r="L120" s="1">
        <v>45096</v>
      </c>
      <c r="M120" s="1"/>
      <c r="N120" t="s">
        <v>49</v>
      </c>
    </row>
    <row r="121" spans="1:14" x14ac:dyDescent="0.25">
      <c r="A121">
        <v>1120</v>
      </c>
      <c r="B121">
        <v>53</v>
      </c>
      <c r="C121" t="s">
        <v>31</v>
      </c>
      <c r="D121" t="s">
        <v>16</v>
      </c>
      <c r="E121" t="s">
        <v>20</v>
      </c>
      <c r="F121" t="s">
        <v>45</v>
      </c>
      <c r="G121">
        <v>79360</v>
      </c>
      <c r="H121">
        <v>18</v>
      </c>
      <c r="I121">
        <v>24</v>
      </c>
      <c r="K121">
        <v>8</v>
      </c>
      <c r="L121" s="1">
        <v>44615</v>
      </c>
      <c r="M121" s="1"/>
      <c r="N121" t="s">
        <v>49</v>
      </c>
    </row>
    <row r="122" spans="1:14" x14ac:dyDescent="0.25">
      <c r="A122">
        <v>1121</v>
      </c>
      <c r="B122">
        <v>54</v>
      </c>
      <c r="C122" t="s">
        <v>31</v>
      </c>
      <c r="D122" t="s">
        <v>23</v>
      </c>
      <c r="E122" t="s">
        <v>28</v>
      </c>
      <c r="F122" t="s">
        <v>17</v>
      </c>
      <c r="G122">
        <v>68020</v>
      </c>
      <c r="H122">
        <v>1</v>
      </c>
      <c r="I122">
        <v>44</v>
      </c>
      <c r="J122">
        <v>4</v>
      </c>
      <c r="K122">
        <v>2</v>
      </c>
      <c r="L122" s="1">
        <v>42136</v>
      </c>
      <c r="M122" s="1"/>
      <c r="N122" t="s">
        <v>49</v>
      </c>
    </row>
    <row r="123" spans="1:14" x14ac:dyDescent="0.25">
      <c r="A123">
        <v>1122</v>
      </c>
      <c r="B123">
        <v>22</v>
      </c>
      <c r="C123" t="s">
        <v>32</v>
      </c>
      <c r="D123" t="s">
        <v>23</v>
      </c>
      <c r="E123" t="s">
        <v>20</v>
      </c>
      <c r="F123" t="s">
        <v>29</v>
      </c>
      <c r="G123">
        <v>96272</v>
      </c>
      <c r="H123">
        <v>23</v>
      </c>
      <c r="I123">
        <v>55</v>
      </c>
      <c r="J123">
        <v>5</v>
      </c>
      <c r="K123">
        <v>4</v>
      </c>
      <c r="L123" s="1">
        <v>43551</v>
      </c>
      <c r="M123" s="1">
        <v>44679</v>
      </c>
      <c r="N123" t="s">
        <v>50</v>
      </c>
    </row>
    <row r="124" spans="1:14" x14ac:dyDescent="0.25">
      <c r="A124">
        <v>1123</v>
      </c>
      <c r="B124">
        <v>41</v>
      </c>
      <c r="C124" t="s">
        <v>32</v>
      </c>
      <c r="D124" t="s">
        <v>13</v>
      </c>
      <c r="E124" t="s">
        <v>25</v>
      </c>
      <c r="F124" t="s">
        <v>21</v>
      </c>
      <c r="G124">
        <v>58693</v>
      </c>
      <c r="H124">
        <v>0</v>
      </c>
      <c r="I124">
        <v>44</v>
      </c>
      <c r="J124">
        <v>1</v>
      </c>
      <c r="K124">
        <v>7</v>
      </c>
      <c r="L124" s="1">
        <v>43617</v>
      </c>
      <c r="M124" s="1"/>
      <c r="N124" t="s">
        <v>49</v>
      </c>
    </row>
    <row r="125" spans="1:14" x14ac:dyDescent="0.25">
      <c r="A125">
        <v>1124</v>
      </c>
      <c r="B125">
        <v>38</v>
      </c>
      <c r="C125" t="s">
        <v>31</v>
      </c>
      <c r="D125" t="s">
        <v>16</v>
      </c>
      <c r="E125" t="s">
        <v>14</v>
      </c>
      <c r="F125" t="s">
        <v>29</v>
      </c>
      <c r="G125">
        <v>85507</v>
      </c>
      <c r="H125">
        <v>20</v>
      </c>
      <c r="I125">
        <v>51</v>
      </c>
      <c r="J125">
        <v>2</v>
      </c>
      <c r="K125">
        <v>9</v>
      </c>
      <c r="L125" s="1">
        <v>42479</v>
      </c>
      <c r="M125" s="1"/>
      <c r="N125" t="s">
        <v>49</v>
      </c>
    </row>
    <row r="126" spans="1:14" x14ac:dyDescent="0.25">
      <c r="A126">
        <v>1125</v>
      </c>
      <c r="B126">
        <v>41</v>
      </c>
      <c r="C126" t="s">
        <v>31</v>
      </c>
      <c r="D126" t="s">
        <v>23</v>
      </c>
      <c r="E126" t="s">
        <v>12</v>
      </c>
      <c r="F126" t="s">
        <v>15</v>
      </c>
      <c r="G126">
        <v>67670</v>
      </c>
      <c r="H126">
        <v>7</v>
      </c>
      <c r="I126">
        <v>37</v>
      </c>
      <c r="J126">
        <v>4</v>
      </c>
      <c r="K126">
        <v>10</v>
      </c>
      <c r="L126" s="1">
        <v>44905</v>
      </c>
      <c r="M126" s="1"/>
      <c r="N126" t="s">
        <v>49</v>
      </c>
    </row>
    <row r="127" spans="1:14" x14ac:dyDescent="0.25">
      <c r="A127">
        <v>1126</v>
      </c>
      <c r="B127">
        <v>44</v>
      </c>
      <c r="C127" t="s">
        <v>31</v>
      </c>
      <c r="D127" t="s">
        <v>27</v>
      </c>
      <c r="E127" t="s">
        <v>14</v>
      </c>
      <c r="F127" t="s">
        <v>15</v>
      </c>
      <c r="G127">
        <v>69512</v>
      </c>
      <c r="H127">
        <v>1</v>
      </c>
      <c r="I127">
        <v>1</v>
      </c>
      <c r="J127">
        <v>3</v>
      </c>
      <c r="K127">
        <v>1</v>
      </c>
      <c r="L127" s="1">
        <v>45241</v>
      </c>
      <c r="M127" s="1"/>
      <c r="N127" t="s">
        <v>49</v>
      </c>
    </row>
    <row r="128" spans="1:14" x14ac:dyDescent="0.25">
      <c r="A128">
        <v>1127</v>
      </c>
      <c r="B128">
        <v>22</v>
      </c>
      <c r="C128" t="s">
        <v>31</v>
      </c>
      <c r="D128" t="s">
        <v>23</v>
      </c>
      <c r="E128" t="s">
        <v>25</v>
      </c>
      <c r="F128" t="s">
        <v>18</v>
      </c>
      <c r="G128">
        <v>74695</v>
      </c>
      <c r="H128">
        <v>26</v>
      </c>
      <c r="I128">
        <v>27</v>
      </c>
      <c r="J128">
        <v>3</v>
      </c>
      <c r="K128">
        <v>2</v>
      </c>
      <c r="L128" s="1">
        <v>45539</v>
      </c>
      <c r="M128" s="1">
        <v>45456</v>
      </c>
      <c r="N128" t="s">
        <v>50</v>
      </c>
    </row>
    <row r="129" spans="1:14" x14ac:dyDescent="0.25">
      <c r="A129">
        <v>1128</v>
      </c>
      <c r="B129">
        <v>53</v>
      </c>
      <c r="C129" t="s">
        <v>31</v>
      </c>
      <c r="D129" t="s">
        <v>22</v>
      </c>
      <c r="E129" t="s">
        <v>12</v>
      </c>
      <c r="F129" t="s">
        <v>29</v>
      </c>
      <c r="G129">
        <v>109670</v>
      </c>
      <c r="H129">
        <v>15</v>
      </c>
      <c r="I129">
        <v>15</v>
      </c>
      <c r="J129">
        <v>3</v>
      </c>
      <c r="K129">
        <v>6</v>
      </c>
      <c r="L129" s="1">
        <v>44476</v>
      </c>
      <c r="M129" s="1"/>
      <c r="N129" t="s">
        <v>49</v>
      </c>
    </row>
    <row r="130" spans="1:14" x14ac:dyDescent="0.25">
      <c r="A130">
        <v>1129</v>
      </c>
      <c r="B130">
        <v>43</v>
      </c>
      <c r="C130" t="s">
        <v>31</v>
      </c>
      <c r="D130" t="s">
        <v>19</v>
      </c>
      <c r="E130" t="s">
        <v>28</v>
      </c>
      <c r="F130" t="s">
        <v>21</v>
      </c>
      <c r="G130">
        <v>77199</v>
      </c>
      <c r="H130">
        <v>10</v>
      </c>
      <c r="I130">
        <v>38</v>
      </c>
      <c r="J130">
        <v>1</v>
      </c>
      <c r="K130">
        <v>2</v>
      </c>
      <c r="L130" s="1">
        <v>45061</v>
      </c>
      <c r="M130" s="1">
        <v>43354</v>
      </c>
      <c r="N130" t="s">
        <v>50</v>
      </c>
    </row>
    <row r="131" spans="1:14" x14ac:dyDescent="0.25">
      <c r="A131">
        <v>1130</v>
      </c>
      <c r="B131">
        <v>60</v>
      </c>
      <c r="C131" t="s">
        <v>31</v>
      </c>
      <c r="D131" t="s">
        <v>22</v>
      </c>
      <c r="E131" t="s">
        <v>25</v>
      </c>
      <c r="F131" t="s">
        <v>15</v>
      </c>
      <c r="G131">
        <v>57724</v>
      </c>
      <c r="H131">
        <v>23</v>
      </c>
      <c r="I131">
        <v>51</v>
      </c>
      <c r="J131">
        <v>2</v>
      </c>
      <c r="K131">
        <v>9</v>
      </c>
      <c r="L131" s="1">
        <v>42487</v>
      </c>
      <c r="M131" s="1"/>
      <c r="N131" t="s">
        <v>49</v>
      </c>
    </row>
    <row r="132" spans="1:14" x14ac:dyDescent="0.25">
      <c r="A132">
        <v>1131</v>
      </c>
      <c r="B132">
        <v>43</v>
      </c>
      <c r="C132" t="s">
        <v>31</v>
      </c>
      <c r="D132" t="s">
        <v>23</v>
      </c>
      <c r="E132" t="s">
        <v>12</v>
      </c>
      <c r="F132" t="s">
        <v>15</v>
      </c>
      <c r="G132">
        <v>89999</v>
      </c>
      <c r="H132">
        <v>30</v>
      </c>
      <c r="I132">
        <v>4</v>
      </c>
      <c r="J132">
        <v>5</v>
      </c>
      <c r="K132">
        <v>2</v>
      </c>
      <c r="L132" s="1">
        <v>43412</v>
      </c>
      <c r="M132" s="1">
        <v>45078</v>
      </c>
      <c r="N132" t="s">
        <v>50</v>
      </c>
    </row>
    <row r="133" spans="1:14" x14ac:dyDescent="0.25">
      <c r="A133">
        <v>1132</v>
      </c>
      <c r="B133">
        <v>53</v>
      </c>
      <c r="C133" t="s">
        <v>32</v>
      </c>
      <c r="D133" t="s">
        <v>27</v>
      </c>
      <c r="E133" t="s">
        <v>20</v>
      </c>
      <c r="F133" t="s">
        <v>29</v>
      </c>
      <c r="G133">
        <v>53809</v>
      </c>
      <c r="H133">
        <v>25</v>
      </c>
      <c r="I133">
        <v>48</v>
      </c>
      <c r="J133">
        <v>3</v>
      </c>
      <c r="K133">
        <v>8</v>
      </c>
      <c r="L133" s="1">
        <v>42808</v>
      </c>
      <c r="M133" s="1"/>
      <c r="N133" t="s">
        <v>49</v>
      </c>
    </row>
    <row r="134" spans="1:14" x14ac:dyDescent="0.25">
      <c r="A134">
        <v>1133</v>
      </c>
      <c r="B134">
        <v>45</v>
      </c>
      <c r="C134" t="s">
        <v>32</v>
      </c>
      <c r="D134" t="s">
        <v>13</v>
      </c>
      <c r="E134" t="s">
        <v>14</v>
      </c>
      <c r="F134" t="s">
        <v>29</v>
      </c>
      <c r="G134">
        <v>103107</v>
      </c>
      <c r="H134">
        <v>18</v>
      </c>
      <c r="I134">
        <v>52</v>
      </c>
      <c r="J134">
        <v>5</v>
      </c>
      <c r="K134">
        <v>10</v>
      </c>
      <c r="L134" s="1">
        <v>45448</v>
      </c>
      <c r="M134" s="1">
        <v>45475</v>
      </c>
      <c r="N134" t="s">
        <v>50</v>
      </c>
    </row>
    <row r="135" spans="1:14" x14ac:dyDescent="0.25">
      <c r="A135">
        <v>1134</v>
      </c>
      <c r="B135">
        <v>27</v>
      </c>
      <c r="C135" t="s">
        <v>31</v>
      </c>
      <c r="D135" t="s">
        <v>22</v>
      </c>
      <c r="E135" t="s">
        <v>20</v>
      </c>
      <c r="F135" t="s">
        <v>45</v>
      </c>
      <c r="G135">
        <v>90672</v>
      </c>
      <c r="H135">
        <v>7</v>
      </c>
      <c r="I135">
        <v>22</v>
      </c>
      <c r="J135">
        <v>2</v>
      </c>
      <c r="K135">
        <v>7</v>
      </c>
      <c r="L135" s="1">
        <v>45195</v>
      </c>
      <c r="M135" s="1"/>
      <c r="N135" t="s">
        <v>49</v>
      </c>
    </row>
    <row r="136" spans="1:14" x14ac:dyDescent="0.25">
      <c r="A136">
        <v>1135</v>
      </c>
      <c r="B136">
        <v>55</v>
      </c>
      <c r="C136" t="s">
        <v>31</v>
      </c>
      <c r="D136" t="s">
        <v>19</v>
      </c>
      <c r="E136" t="s">
        <v>25</v>
      </c>
      <c r="F136" t="s">
        <v>29</v>
      </c>
      <c r="G136">
        <v>104320</v>
      </c>
      <c r="H136">
        <v>13</v>
      </c>
      <c r="I136">
        <v>30</v>
      </c>
      <c r="J136">
        <v>2</v>
      </c>
      <c r="K136">
        <v>7</v>
      </c>
      <c r="L136" s="1">
        <v>42784</v>
      </c>
      <c r="M136" s="1"/>
      <c r="N136" t="s">
        <v>49</v>
      </c>
    </row>
    <row r="137" spans="1:14" x14ac:dyDescent="0.25">
      <c r="A137">
        <v>1136</v>
      </c>
      <c r="B137">
        <v>39</v>
      </c>
      <c r="C137" t="s">
        <v>32</v>
      </c>
      <c r="D137" t="s">
        <v>22</v>
      </c>
      <c r="E137" t="s">
        <v>25</v>
      </c>
      <c r="F137" t="s">
        <v>29</v>
      </c>
      <c r="G137">
        <v>89035</v>
      </c>
      <c r="H137">
        <v>7</v>
      </c>
      <c r="I137">
        <v>25</v>
      </c>
      <c r="J137">
        <v>5</v>
      </c>
      <c r="K137">
        <v>3</v>
      </c>
      <c r="L137" s="1">
        <v>43849</v>
      </c>
      <c r="M137" s="1"/>
      <c r="N137" t="s">
        <v>49</v>
      </c>
    </row>
    <row r="138" spans="1:14" x14ac:dyDescent="0.25">
      <c r="A138">
        <v>1137</v>
      </c>
      <c r="B138">
        <v>24</v>
      </c>
      <c r="C138" t="s">
        <v>31</v>
      </c>
      <c r="D138" t="s">
        <v>27</v>
      </c>
      <c r="E138" t="s">
        <v>12</v>
      </c>
      <c r="F138" t="s">
        <v>15</v>
      </c>
      <c r="G138">
        <v>64823</v>
      </c>
      <c r="H138">
        <v>15</v>
      </c>
      <c r="I138">
        <v>14</v>
      </c>
      <c r="J138">
        <v>5</v>
      </c>
      <c r="K138">
        <v>8</v>
      </c>
      <c r="L138" s="1">
        <v>42274</v>
      </c>
      <c r="M138" s="1"/>
      <c r="N138" t="s">
        <v>49</v>
      </c>
    </row>
    <row r="139" spans="1:14" x14ac:dyDescent="0.25">
      <c r="A139">
        <v>1138</v>
      </c>
      <c r="B139">
        <v>34</v>
      </c>
      <c r="C139" t="s">
        <v>32</v>
      </c>
      <c r="D139" t="s">
        <v>13</v>
      </c>
      <c r="E139" t="s">
        <v>20</v>
      </c>
      <c r="F139" t="s">
        <v>29</v>
      </c>
      <c r="G139">
        <v>108984</v>
      </c>
      <c r="H139">
        <v>4</v>
      </c>
      <c r="I139">
        <v>49</v>
      </c>
      <c r="J139">
        <v>1</v>
      </c>
      <c r="K139">
        <v>3</v>
      </c>
      <c r="L139" s="1">
        <v>44941</v>
      </c>
      <c r="M139" s="1"/>
      <c r="N139" t="s">
        <v>49</v>
      </c>
    </row>
    <row r="140" spans="1:14" x14ac:dyDescent="0.25">
      <c r="A140">
        <v>1139</v>
      </c>
      <c r="B140">
        <v>57</v>
      </c>
      <c r="C140" t="s">
        <v>32</v>
      </c>
      <c r="D140" t="s">
        <v>13</v>
      </c>
      <c r="E140" t="s">
        <v>25</v>
      </c>
      <c r="F140" t="s">
        <v>26</v>
      </c>
      <c r="G140">
        <v>93122</v>
      </c>
      <c r="H140">
        <v>1</v>
      </c>
      <c r="I140">
        <v>53</v>
      </c>
      <c r="J140">
        <v>3</v>
      </c>
      <c r="K140">
        <v>5</v>
      </c>
      <c r="L140" s="1">
        <v>42941</v>
      </c>
      <c r="M140" s="1"/>
      <c r="N140" t="s">
        <v>49</v>
      </c>
    </row>
    <row r="141" spans="1:14" x14ac:dyDescent="0.25">
      <c r="A141">
        <v>1140</v>
      </c>
      <c r="B141">
        <v>54</v>
      </c>
      <c r="C141" t="s">
        <v>31</v>
      </c>
      <c r="D141" t="s">
        <v>27</v>
      </c>
      <c r="E141" t="s">
        <v>20</v>
      </c>
      <c r="F141" t="s">
        <v>26</v>
      </c>
      <c r="G141">
        <v>89859</v>
      </c>
      <c r="H141">
        <v>22</v>
      </c>
      <c r="I141">
        <v>37</v>
      </c>
      <c r="K141">
        <v>5</v>
      </c>
      <c r="L141" s="1">
        <v>44453</v>
      </c>
      <c r="M141" s="1">
        <v>44314</v>
      </c>
      <c r="N141" t="s">
        <v>50</v>
      </c>
    </row>
    <row r="142" spans="1:14" x14ac:dyDescent="0.25">
      <c r="A142">
        <v>1141</v>
      </c>
      <c r="B142">
        <v>31</v>
      </c>
      <c r="C142" t="s">
        <v>32</v>
      </c>
      <c r="D142" t="s">
        <v>16</v>
      </c>
      <c r="E142" t="s">
        <v>20</v>
      </c>
      <c r="F142" t="s">
        <v>18</v>
      </c>
      <c r="G142">
        <v>66928</v>
      </c>
      <c r="H142">
        <v>18</v>
      </c>
      <c r="I142">
        <v>5</v>
      </c>
      <c r="J142">
        <v>5</v>
      </c>
      <c r="K142">
        <v>6</v>
      </c>
      <c r="L142" s="1">
        <v>45361</v>
      </c>
      <c r="M142" s="1">
        <v>44349</v>
      </c>
      <c r="N142" t="s">
        <v>50</v>
      </c>
    </row>
    <row r="143" spans="1:14" x14ac:dyDescent="0.25">
      <c r="A143">
        <v>1142</v>
      </c>
      <c r="B143">
        <v>26</v>
      </c>
      <c r="C143" t="s">
        <v>31</v>
      </c>
      <c r="D143" t="s">
        <v>19</v>
      </c>
      <c r="E143" t="s">
        <v>20</v>
      </c>
      <c r="F143" t="s">
        <v>18</v>
      </c>
      <c r="G143">
        <v>49076</v>
      </c>
      <c r="H143">
        <v>25</v>
      </c>
      <c r="I143">
        <v>9</v>
      </c>
      <c r="J143">
        <v>3</v>
      </c>
      <c r="K143">
        <v>1</v>
      </c>
      <c r="L143" s="1">
        <v>43408</v>
      </c>
      <c r="M143" s="1"/>
      <c r="N143" t="s">
        <v>49</v>
      </c>
    </row>
    <row r="144" spans="1:14" x14ac:dyDescent="0.25">
      <c r="A144">
        <v>1143</v>
      </c>
      <c r="B144">
        <v>47</v>
      </c>
      <c r="C144" t="s">
        <v>32</v>
      </c>
      <c r="D144" t="s">
        <v>27</v>
      </c>
      <c r="E144" t="s">
        <v>12</v>
      </c>
      <c r="F144" t="s">
        <v>26</v>
      </c>
      <c r="G144">
        <v>55842</v>
      </c>
      <c r="H144">
        <v>24</v>
      </c>
      <c r="I144">
        <v>27</v>
      </c>
      <c r="J144">
        <v>4</v>
      </c>
      <c r="K144">
        <v>3</v>
      </c>
      <c r="L144" s="1">
        <v>45402</v>
      </c>
      <c r="M144" s="1"/>
      <c r="N144" t="s">
        <v>49</v>
      </c>
    </row>
    <row r="145" spans="1:14" x14ac:dyDescent="0.25">
      <c r="A145">
        <v>1144</v>
      </c>
      <c r="B145">
        <v>56</v>
      </c>
      <c r="C145" t="s">
        <v>32</v>
      </c>
      <c r="D145" t="s">
        <v>27</v>
      </c>
      <c r="E145" t="s">
        <v>20</v>
      </c>
      <c r="F145" t="s">
        <v>17</v>
      </c>
      <c r="G145">
        <v>84090</v>
      </c>
      <c r="H145">
        <v>14</v>
      </c>
      <c r="I145">
        <v>1</v>
      </c>
      <c r="J145">
        <v>3</v>
      </c>
      <c r="K145">
        <v>6</v>
      </c>
      <c r="L145" s="1">
        <v>44144</v>
      </c>
      <c r="M145" s="1"/>
      <c r="N145" t="s">
        <v>49</v>
      </c>
    </row>
    <row r="146" spans="1:14" x14ac:dyDescent="0.25">
      <c r="A146">
        <v>1145</v>
      </c>
      <c r="B146">
        <v>23</v>
      </c>
      <c r="C146" t="s">
        <v>31</v>
      </c>
      <c r="D146" t="s">
        <v>13</v>
      </c>
      <c r="E146" t="s">
        <v>25</v>
      </c>
      <c r="F146" t="s">
        <v>29</v>
      </c>
      <c r="G146">
        <v>88156</v>
      </c>
      <c r="H146">
        <v>29</v>
      </c>
      <c r="I146">
        <v>45</v>
      </c>
      <c r="K146">
        <v>10</v>
      </c>
      <c r="L146" s="1">
        <v>42018</v>
      </c>
      <c r="M146" s="1">
        <v>44115</v>
      </c>
      <c r="N146" t="s">
        <v>50</v>
      </c>
    </row>
    <row r="147" spans="1:14" x14ac:dyDescent="0.25">
      <c r="A147">
        <v>1146</v>
      </c>
      <c r="B147">
        <v>26</v>
      </c>
      <c r="C147" t="s">
        <v>32</v>
      </c>
      <c r="D147" t="s">
        <v>19</v>
      </c>
      <c r="E147" t="s">
        <v>12</v>
      </c>
      <c r="F147" t="s">
        <v>18</v>
      </c>
      <c r="G147">
        <v>76414</v>
      </c>
      <c r="H147">
        <v>22</v>
      </c>
      <c r="I147">
        <v>4</v>
      </c>
      <c r="J147">
        <v>4</v>
      </c>
      <c r="K147">
        <v>8</v>
      </c>
      <c r="L147" s="1">
        <v>42921</v>
      </c>
      <c r="M147" s="1"/>
      <c r="N147" t="s">
        <v>49</v>
      </c>
    </row>
    <row r="148" spans="1:14" x14ac:dyDescent="0.25">
      <c r="A148">
        <v>1147</v>
      </c>
      <c r="B148">
        <v>27</v>
      </c>
      <c r="C148" t="s">
        <v>32</v>
      </c>
      <c r="D148" t="s">
        <v>22</v>
      </c>
      <c r="E148" t="s">
        <v>20</v>
      </c>
      <c r="F148" t="s">
        <v>26</v>
      </c>
      <c r="G148">
        <v>95941</v>
      </c>
      <c r="H148">
        <v>0</v>
      </c>
      <c r="I148">
        <v>33</v>
      </c>
      <c r="J148">
        <v>4</v>
      </c>
      <c r="K148">
        <v>7</v>
      </c>
      <c r="L148" s="1">
        <v>43723</v>
      </c>
      <c r="M148" s="1">
        <v>43350</v>
      </c>
      <c r="N148" t="s">
        <v>50</v>
      </c>
    </row>
    <row r="149" spans="1:14" x14ac:dyDescent="0.25">
      <c r="A149">
        <v>1148</v>
      </c>
      <c r="B149">
        <v>31</v>
      </c>
      <c r="C149" t="s">
        <v>31</v>
      </c>
      <c r="D149" t="s">
        <v>27</v>
      </c>
      <c r="E149" t="s">
        <v>28</v>
      </c>
      <c r="F149" t="s">
        <v>29</v>
      </c>
      <c r="G149">
        <v>91870</v>
      </c>
      <c r="H149">
        <v>8</v>
      </c>
      <c r="I149">
        <v>2</v>
      </c>
      <c r="J149">
        <v>3</v>
      </c>
      <c r="K149">
        <v>5</v>
      </c>
      <c r="L149" s="1">
        <v>43826</v>
      </c>
      <c r="M149" s="1"/>
      <c r="N149" t="s">
        <v>49</v>
      </c>
    </row>
    <row r="150" spans="1:14" x14ac:dyDescent="0.25">
      <c r="A150">
        <v>1149</v>
      </c>
      <c r="B150">
        <v>60</v>
      </c>
      <c r="C150" t="s">
        <v>31</v>
      </c>
      <c r="D150" t="s">
        <v>16</v>
      </c>
      <c r="E150" t="s">
        <v>14</v>
      </c>
      <c r="F150" t="s">
        <v>26</v>
      </c>
      <c r="G150">
        <v>97372</v>
      </c>
      <c r="H150">
        <v>16</v>
      </c>
      <c r="I150">
        <v>17</v>
      </c>
      <c r="J150">
        <v>5</v>
      </c>
      <c r="K150">
        <v>6</v>
      </c>
      <c r="L150" s="1">
        <v>42278</v>
      </c>
      <c r="M150" s="1"/>
      <c r="N150" t="s">
        <v>49</v>
      </c>
    </row>
    <row r="151" spans="1:14" x14ac:dyDescent="0.25">
      <c r="A151">
        <v>1150</v>
      </c>
      <c r="B151">
        <v>30</v>
      </c>
      <c r="C151" t="s">
        <v>32</v>
      </c>
      <c r="D151" t="s">
        <v>27</v>
      </c>
      <c r="E151" t="s">
        <v>25</v>
      </c>
      <c r="F151" t="s">
        <v>18</v>
      </c>
      <c r="G151">
        <v>102068</v>
      </c>
      <c r="H151">
        <v>7</v>
      </c>
      <c r="I151">
        <v>14</v>
      </c>
      <c r="J151">
        <v>2</v>
      </c>
      <c r="K151">
        <v>9</v>
      </c>
      <c r="L151" s="1">
        <v>43839</v>
      </c>
      <c r="M151" s="1"/>
      <c r="N151" t="s">
        <v>49</v>
      </c>
    </row>
    <row r="152" spans="1:14" x14ac:dyDescent="0.25">
      <c r="A152">
        <v>1151</v>
      </c>
      <c r="B152">
        <v>34</v>
      </c>
      <c r="C152" t="s">
        <v>31</v>
      </c>
      <c r="D152" t="s">
        <v>22</v>
      </c>
      <c r="E152" t="s">
        <v>20</v>
      </c>
      <c r="F152" t="s">
        <v>45</v>
      </c>
      <c r="G152">
        <v>54458</v>
      </c>
      <c r="H152">
        <v>9</v>
      </c>
      <c r="I152">
        <v>33</v>
      </c>
      <c r="J152">
        <v>1</v>
      </c>
      <c r="K152">
        <v>1</v>
      </c>
      <c r="L152" s="1">
        <v>42817</v>
      </c>
      <c r="M152" s="1"/>
      <c r="N152" t="s">
        <v>49</v>
      </c>
    </row>
    <row r="153" spans="1:14" x14ac:dyDescent="0.25">
      <c r="A153">
        <v>1152</v>
      </c>
      <c r="B153">
        <v>27</v>
      </c>
      <c r="C153" t="s">
        <v>31</v>
      </c>
      <c r="D153" t="s">
        <v>19</v>
      </c>
      <c r="E153" t="s">
        <v>14</v>
      </c>
      <c r="F153" t="s">
        <v>29</v>
      </c>
      <c r="G153">
        <v>91439</v>
      </c>
      <c r="H153">
        <v>26</v>
      </c>
      <c r="I153">
        <v>51</v>
      </c>
      <c r="J153">
        <v>3</v>
      </c>
      <c r="K153">
        <v>4</v>
      </c>
      <c r="L153" s="1">
        <v>43649</v>
      </c>
      <c r="M153" s="1"/>
      <c r="N153" t="s">
        <v>49</v>
      </c>
    </row>
    <row r="154" spans="1:14" x14ac:dyDescent="0.25">
      <c r="A154">
        <v>1153</v>
      </c>
      <c r="B154">
        <v>35</v>
      </c>
      <c r="C154" t="s">
        <v>31</v>
      </c>
      <c r="D154" t="s">
        <v>16</v>
      </c>
      <c r="E154" t="s">
        <v>25</v>
      </c>
      <c r="F154" t="s">
        <v>26</v>
      </c>
      <c r="G154">
        <v>50137</v>
      </c>
      <c r="H154">
        <v>30</v>
      </c>
      <c r="I154">
        <v>59</v>
      </c>
      <c r="J154">
        <v>5</v>
      </c>
      <c r="K154">
        <v>4</v>
      </c>
      <c r="L154" s="1">
        <v>44769</v>
      </c>
      <c r="M154" s="1"/>
      <c r="N154" t="s">
        <v>49</v>
      </c>
    </row>
    <row r="155" spans="1:14" x14ac:dyDescent="0.25">
      <c r="A155">
        <v>1154</v>
      </c>
      <c r="B155">
        <v>40</v>
      </c>
      <c r="C155" t="s">
        <v>32</v>
      </c>
      <c r="D155" t="s">
        <v>23</v>
      </c>
      <c r="E155" t="s">
        <v>25</v>
      </c>
      <c r="F155" t="s">
        <v>29</v>
      </c>
      <c r="G155">
        <v>85095</v>
      </c>
      <c r="H155">
        <v>26</v>
      </c>
      <c r="I155">
        <v>11</v>
      </c>
      <c r="J155">
        <v>5</v>
      </c>
      <c r="K155">
        <v>1</v>
      </c>
      <c r="L155" s="1">
        <v>42347</v>
      </c>
      <c r="M155" s="1">
        <v>43622</v>
      </c>
      <c r="N155" t="s">
        <v>50</v>
      </c>
    </row>
    <row r="156" spans="1:14" x14ac:dyDescent="0.25">
      <c r="A156">
        <v>1155</v>
      </c>
      <c r="B156">
        <v>57</v>
      </c>
      <c r="C156" t="s">
        <v>32</v>
      </c>
      <c r="D156" t="s">
        <v>23</v>
      </c>
      <c r="E156" t="s">
        <v>12</v>
      </c>
      <c r="F156" t="s">
        <v>17</v>
      </c>
      <c r="G156">
        <v>75947</v>
      </c>
      <c r="H156">
        <v>5</v>
      </c>
      <c r="I156">
        <v>11</v>
      </c>
      <c r="J156">
        <v>5</v>
      </c>
      <c r="K156">
        <v>10</v>
      </c>
      <c r="L156" s="1">
        <v>42541</v>
      </c>
      <c r="M156" s="1"/>
      <c r="N156" t="s">
        <v>49</v>
      </c>
    </row>
    <row r="157" spans="1:14" x14ac:dyDescent="0.25">
      <c r="A157">
        <v>1156</v>
      </c>
      <c r="B157">
        <v>56</v>
      </c>
      <c r="C157" t="s">
        <v>32</v>
      </c>
      <c r="D157" t="s">
        <v>13</v>
      </c>
      <c r="E157" t="s">
        <v>28</v>
      </c>
      <c r="F157" t="s">
        <v>29</v>
      </c>
      <c r="G157">
        <v>99259</v>
      </c>
      <c r="H157">
        <v>3</v>
      </c>
      <c r="I157">
        <v>51</v>
      </c>
      <c r="K157">
        <v>8</v>
      </c>
      <c r="L157" s="1">
        <v>44274</v>
      </c>
      <c r="M157" s="1"/>
      <c r="N157" t="s">
        <v>49</v>
      </c>
    </row>
    <row r="158" spans="1:14" x14ac:dyDescent="0.25">
      <c r="A158">
        <v>1157</v>
      </c>
      <c r="B158">
        <v>25</v>
      </c>
      <c r="C158" t="s">
        <v>32</v>
      </c>
      <c r="D158" t="s">
        <v>23</v>
      </c>
      <c r="E158" t="s">
        <v>14</v>
      </c>
      <c r="F158" t="s">
        <v>15</v>
      </c>
      <c r="G158">
        <v>50494</v>
      </c>
      <c r="H158">
        <v>6</v>
      </c>
      <c r="I158">
        <v>58</v>
      </c>
      <c r="J158">
        <v>3</v>
      </c>
      <c r="K158">
        <v>5</v>
      </c>
      <c r="L158" s="1">
        <v>43270</v>
      </c>
      <c r="M158" s="1"/>
      <c r="N158" t="s">
        <v>49</v>
      </c>
    </row>
    <row r="159" spans="1:14" x14ac:dyDescent="0.25">
      <c r="A159">
        <v>1158</v>
      </c>
      <c r="B159">
        <v>54</v>
      </c>
      <c r="C159" t="s">
        <v>31</v>
      </c>
      <c r="D159" t="s">
        <v>22</v>
      </c>
      <c r="E159" t="s">
        <v>12</v>
      </c>
      <c r="F159" t="s">
        <v>26</v>
      </c>
      <c r="G159">
        <v>77060</v>
      </c>
      <c r="H159">
        <v>21</v>
      </c>
      <c r="I159">
        <v>60</v>
      </c>
      <c r="J159">
        <v>1</v>
      </c>
      <c r="K159">
        <v>9</v>
      </c>
      <c r="L159" s="1">
        <v>45194</v>
      </c>
      <c r="M159" s="1">
        <v>45636</v>
      </c>
      <c r="N159" t="s">
        <v>50</v>
      </c>
    </row>
    <row r="160" spans="1:14" x14ac:dyDescent="0.25">
      <c r="A160">
        <v>1159</v>
      </c>
      <c r="B160">
        <v>54</v>
      </c>
      <c r="C160" t="s">
        <v>32</v>
      </c>
      <c r="D160" t="s">
        <v>16</v>
      </c>
      <c r="E160" t="s">
        <v>12</v>
      </c>
      <c r="F160" t="s">
        <v>18</v>
      </c>
      <c r="G160">
        <v>56135</v>
      </c>
      <c r="H160">
        <v>25</v>
      </c>
      <c r="I160">
        <v>52</v>
      </c>
      <c r="J160">
        <v>2</v>
      </c>
      <c r="K160">
        <v>4</v>
      </c>
      <c r="L160" s="1">
        <v>45112</v>
      </c>
      <c r="M160" s="1"/>
      <c r="N160" t="s">
        <v>49</v>
      </c>
    </row>
    <row r="161" spans="1:14" x14ac:dyDescent="0.25">
      <c r="A161">
        <v>1160</v>
      </c>
      <c r="B161">
        <v>57</v>
      </c>
      <c r="C161" t="s">
        <v>31</v>
      </c>
      <c r="D161" t="s">
        <v>16</v>
      </c>
      <c r="E161" t="s">
        <v>12</v>
      </c>
      <c r="F161" t="s">
        <v>17</v>
      </c>
      <c r="G161">
        <v>72316</v>
      </c>
      <c r="H161">
        <v>9</v>
      </c>
      <c r="I161">
        <v>32</v>
      </c>
      <c r="J161">
        <v>2</v>
      </c>
      <c r="K161">
        <v>5</v>
      </c>
      <c r="L161" s="1">
        <v>44671</v>
      </c>
      <c r="M161" s="1"/>
      <c r="N161" t="s">
        <v>49</v>
      </c>
    </row>
    <row r="162" spans="1:14" x14ac:dyDescent="0.25">
      <c r="A162">
        <v>1161</v>
      </c>
      <c r="B162">
        <v>26</v>
      </c>
      <c r="C162" t="s">
        <v>32</v>
      </c>
      <c r="D162" t="s">
        <v>16</v>
      </c>
      <c r="E162" t="s">
        <v>20</v>
      </c>
      <c r="F162" t="s">
        <v>26</v>
      </c>
      <c r="G162">
        <v>107327</v>
      </c>
      <c r="H162">
        <v>9</v>
      </c>
      <c r="I162">
        <v>8</v>
      </c>
      <c r="K162">
        <v>3</v>
      </c>
      <c r="L162" s="1">
        <v>44715</v>
      </c>
      <c r="M162" s="1">
        <v>43141</v>
      </c>
      <c r="N162" t="s">
        <v>50</v>
      </c>
    </row>
    <row r="163" spans="1:14" x14ac:dyDescent="0.25">
      <c r="A163">
        <v>1162</v>
      </c>
      <c r="B163">
        <v>25</v>
      </c>
      <c r="C163" t="s">
        <v>32</v>
      </c>
      <c r="D163" t="s">
        <v>23</v>
      </c>
      <c r="E163" t="s">
        <v>20</v>
      </c>
      <c r="F163" t="s">
        <v>45</v>
      </c>
      <c r="G163">
        <v>79213</v>
      </c>
      <c r="H163">
        <v>18</v>
      </c>
      <c r="I163">
        <v>45</v>
      </c>
      <c r="K163">
        <v>5</v>
      </c>
      <c r="L163" s="1">
        <v>45603</v>
      </c>
      <c r="M163" s="1"/>
      <c r="N163" t="s">
        <v>49</v>
      </c>
    </row>
    <row r="164" spans="1:14" x14ac:dyDescent="0.25">
      <c r="A164">
        <v>1163</v>
      </c>
      <c r="B164">
        <v>25</v>
      </c>
      <c r="C164" t="s">
        <v>32</v>
      </c>
      <c r="D164" t="s">
        <v>27</v>
      </c>
      <c r="E164" t="s">
        <v>25</v>
      </c>
      <c r="F164" t="s">
        <v>26</v>
      </c>
      <c r="G164">
        <v>72281</v>
      </c>
      <c r="H164">
        <v>11</v>
      </c>
      <c r="I164">
        <v>36</v>
      </c>
      <c r="J164">
        <v>3</v>
      </c>
      <c r="K164">
        <v>10</v>
      </c>
      <c r="L164" s="1">
        <v>45104</v>
      </c>
      <c r="M164" s="1">
        <v>44400</v>
      </c>
      <c r="N164" t="s">
        <v>50</v>
      </c>
    </row>
    <row r="165" spans="1:14" x14ac:dyDescent="0.25">
      <c r="A165">
        <v>1164</v>
      </c>
      <c r="B165">
        <v>57</v>
      </c>
      <c r="C165" t="s">
        <v>31</v>
      </c>
      <c r="D165" t="s">
        <v>23</v>
      </c>
      <c r="E165" t="s">
        <v>28</v>
      </c>
      <c r="F165" t="s">
        <v>15</v>
      </c>
      <c r="G165">
        <v>69098</v>
      </c>
      <c r="H165">
        <v>9</v>
      </c>
      <c r="I165">
        <v>53</v>
      </c>
      <c r="K165">
        <v>2</v>
      </c>
      <c r="L165" s="1">
        <v>45649</v>
      </c>
      <c r="M165" s="1"/>
      <c r="N165" t="s">
        <v>49</v>
      </c>
    </row>
    <row r="166" spans="1:14" x14ac:dyDescent="0.25">
      <c r="A166">
        <v>1165</v>
      </c>
      <c r="B166">
        <v>36</v>
      </c>
      <c r="C166" t="s">
        <v>31</v>
      </c>
      <c r="D166" t="s">
        <v>22</v>
      </c>
      <c r="E166" t="s">
        <v>28</v>
      </c>
      <c r="F166" t="s">
        <v>45</v>
      </c>
      <c r="G166">
        <v>93372</v>
      </c>
      <c r="H166">
        <v>5</v>
      </c>
      <c r="I166">
        <v>10</v>
      </c>
      <c r="J166">
        <v>1</v>
      </c>
      <c r="K166">
        <v>7</v>
      </c>
      <c r="L166" s="1">
        <v>42998</v>
      </c>
      <c r="M166" s="1"/>
      <c r="N166" t="s">
        <v>49</v>
      </c>
    </row>
    <row r="167" spans="1:14" x14ac:dyDescent="0.25">
      <c r="A167">
        <v>1166</v>
      </c>
      <c r="B167">
        <v>21</v>
      </c>
      <c r="C167" t="s">
        <v>31</v>
      </c>
      <c r="D167" t="s">
        <v>22</v>
      </c>
      <c r="E167" t="s">
        <v>12</v>
      </c>
      <c r="F167" t="s">
        <v>18</v>
      </c>
      <c r="G167">
        <v>54987</v>
      </c>
      <c r="H167">
        <v>27</v>
      </c>
      <c r="I167">
        <v>30</v>
      </c>
      <c r="J167">
        <v>3</v>
      </c>
      <c r="K167">
        <v>7</v>
      </c>
      <c r="L167" s="1">
        <v>43095</v>
      </c>
      <c r="M167" s="1">
        <v>44984</v>
      </c>
      <c r="N167" t="s">
        <v>50</v>
      </c>
    </row>
    <row r="168" spans="1:14" x14ac:dyDescent="0.25">
      <c r="A168">
        <v>1167</v>
      </c>
      <c r="B168">
        <v>46</v>
      </c>
      <c r="C168" t="s">
        <v>31</v>
      </c>
      <c r="D168" t="s">
        <v>22</v>
      </c>
      <c r="E168" t="s">
        <v>14</v>
      </c>
      <c r="F168" t="s">
        <v>45</v>
      </c>
      <c r="G168">
        <v>99245</v>
      </c>
      <c r="H168">
        <v>29</v>
      </c>
      <c r="I168">
        <v>49</v>
      </c>
      <c r="J168">
        <v>1</v>
      </c>
      <c r="K168">
        <v>6</v>
      </c>
      <c r="L168" s="1">
        <v>45212</v>
      </c>
      <c r="M168" s="1"/>
      <c r="N168" t="s">
        <v>49</v>
      </c>
    </row>
    <row r="169" spans="1:14" x14ac:dyDescent="0.25">
      <c r="A169">
        <v>1168</v>
      </c>
      <c r="B169">
        <v>48</v>
      </c>
      <c r="C169" t="s">
        <v>31</v>
      </c>
      <c r="D169" t="s">
        <v>22</v>
      </c>
      <c r="E169" t="s">
        <v>12</v>
      </c>
      <c r="F169" t="s">
        <v>21</v>
      </c>
      <c r="G169">
        <v>101626</v>
      </c>
      <c r="H169">
        <v>21</v>
      </c>
      <c r="I169">
        <v>58</v>
      </c>
      <c r="J169">
        <v>3</v>
      </c>
      <c r="K169">
        <v>8</v>
      </c>
      <c r="L169" s="1">
        <v>44528</v>
      </c>
      <c r="M169" s="1"/>
      <c r="N169" t="s">
        <v>49</v>
      </c>
    </row>
    <row r="170" spans="1:14" x14ac:dyDescent="0.25">
      <c r="A170">
        <v>1169</v>
      </c>
      <c r="B170">
        <v>45</v>
      </c>
      <c r="C170" t="s">
        <v>32</v>
      </c>
      <c r="D170" t="s">
        <v>27</v>
      </c>
      <c r="E170" t="s">
        <v>20</v>
      </c>
      <c r="F170" t="s">
        <v>15</v>
      </c>
      <c r="G170">
        <v>71520</v>
      </c>
      <c r="H170">
        <v>7</v>
      </c>
      <c r="I170">
        <v>48</v>
      </c>
      <c r="J170">
        <v>4</v>
      </c>
      <c r="K170">
        <v>4</v>
      </c>
      <c r="L170" s="1">
        <v>43680</v>
      </c>
      <c r="M170" s="1"/>
      <c r="N170" t="s">
        <v>49</v>
      </c>
    </row>
    <row r="171" spans="1:14" x14ac:dyDescent="0.25">
      <c r="A171">
        <v>1170</v>
      </c>
      <c r="B171">
        <v>21</v>
      </c>
      <c r="C171" t="s">
        <v>31</v>
      </c>
      <c r="D171" t="s">
        <v>27</v>
      </c>
      <c r="E171" t="s">
        <v>20</v>
      </c>
      <c r="F171" t="s">
        <v>21</v>
      </c>
      <c r="G171">
        <v>56710</v>
      </c>
      <c r="H171">
        <v>3</v>
      </c>
      <c r="I171">
        <v>49</v>
      </c>
      <c r="J171">
        <v>2</v>
      </c>
      <c r="K171">
        <v>3</v>
      </c>
      <c r="L171" s="1">
        <v>43968</v>
      </c>
      <c r="M171" s="1"/>
      <c r="N171" t="s">
        <v>49</v>
      </c>
    </row>
    <row r="172" spans="1:14" x14ac:dyDescent="0.25">
      <c r="A172">
        <v>1171</v>
      </c>
      <c r="B172">
        <v>27</v>
      </c>
      <c r="C172" t="s">
        <v>31</v>
      </c>
      <c r="D172" t="s">
        <v>23</v>
      </c>
      <c r="E172" t="s">
        <v>12</v>
      </c>
      <c r="F172" t="s">
        <v>45</v>
      </c>
      <c r="G172">
        <v>103207</v>
      </c>
      <c r="H172">
        <v>20</v>
      </c>
      <c r="I172">
        <v>3</v>
      </c>
      <c r="J172">
        <v>1</v>
      </c>
      <c r="K172">
        <v>3</v>
      </c>
      <c r="L172" s="1">
        <v>43514</v>
      </c>
      <c r="M172" s="1">
        <v>44335</v>
      </c>
      <c r="N172" t="s">
        <v>50</v>
      </c>
    </row>
    <row r="173" spans="1:14" x14ac:dyDescent="0.25">
      <c r="A173">
        <v>1172</v>
      </c>
      <c r="B173">
        <v>60</v>
      </c>
      <c r="C173" t="s">
        <v>32</v>
      </c>
      <c r="D173" t="s">
        <v>27</v>
      </c>
      <c r="E173" t="s">
        <v>14</v>
      </c>
      <c r="F173" t="s">
        <v>18</v>
      </c>
      <c r="G173">
        <v>82136</v>
      </c>
      <c r="H173">
        <v>13</v>
      </c>
      <c r="I173">
        <v>29</v>
      </c>
      <c r="J173">
        <v>3</v>
      </c>
      <c r="K173">
        <v>8</v>
      </c>
      <c r="L173" s="1">
        <v>44394</v>
      </c>
      <c r="M173" s="1">
        <v>44070</v>
      </c>
      <c r="N173" t="s">
        <v>50</v>
      </c>
    </row>
    <row r="174" spans="1:14" x14ac:dyDescent="0.25">
      <c r="A174">
        <v>1173</v>
      </c>
      <c r="B174">
        <v>39</v>
      </c>
      <c r="C174" t="s">
        <v>32</v>
      </c>
      <c r="D174" t="s">
        <v>19</v>
      </c>
      <c r="E174" t="s">
        <v>14</v>
      </c>
      <c r="F174" t="s">
        <v>26</v>
      </c>
      <c r="G174">
        <v>55995</v>
      </c>
      <c r="H174">
        <v>23</v>
      </c>
      <c r="I174">
        <v>26</v>
      </c>
      <c r="J174">
        <v>1</v>
      </c>
      <c r="K174">
        <v>6</v>
      </c>
      <c r="L174" s="1">
        <v>43783</v>
      </c>
      <c r="M174" s="1">
        <v>42775</v>
      </c>
      <c r="N174" t="s">
        <v>50</v>
      </c>
    </row>
    <row r="175" spans="1:14" x14ac:dyDescent="0.25">
      <c r="A175">
        <v>1174</v>
      </c>
      <c r="B175">
        <v>41</v>
      </c>
      <c r="C175" t="s">
        <v>32</v>
      </c>
      <c r="D175" t="s">
        <v>27</v>
      </c>
      <c r="E175" t="s">
        <v>25</v>
      </c>
      <c r="F175" t="s">
        <v>45</v>
      </c>
      <c r="G175">
        <v>83353</v>
      </c>
      <c r="H175">
        <v>3</v>
      </c>
      <c r="I175">
        <v>28</v>
      </c>
      <c r="J175">
        <v>3</v>
      </c>
      <c r="K175">
        <v>8</v>
      </c>
      <c r="L175" s="1">
        <v>43227</v>
      </c>
      <c r="M175" s="1"/>
      <c r="N175" t="s">
        <v>49</v>
      </c>
    </row>
    <row r="176" spans="1:14" x14ac:dyDescent="0.25">
      <c r="A176">
        <v>1175</v>
      </c>
      <c r="B176">
        <v>58</v>
      </c>
      <c r="C176" t="s">
        <v>32</v>
      </c>
      <c r="D176" t="s">
        <v>13</v>
      </c>
      <c r="E176" t="s">
        <v>14</v>
      </c>
      <c r="F176" t="s">
        <v>18</v>
      </c>
      <c r="G176">
        <v>102682</v>
      </c>
      <c r="H176">
        <v>16</v>
      </c>
      <c r="I176">
        <v>4</v>
      </c>
      <c r="J176">
        <v>5</v>
      </c>
      <c r="K176">
        <v>1</v>
      </c>
      <c r="L176" s="1">
        <v>42327</v>
      </c>
      <c r="M176" s="1"/>
      <c r="N176" t="s">
        <v>49</v>
      </c>
    </row>
    <row r="177" spans="1:14" x14ac:dyDescent="0.25">
      <c r="A177">
        <v>1176</v>
      </c>
      <c r="B177">
        <v>34</v>
      </c>
      <c r="C177" t="s">
        <v>31</v>
      </c>
      <c r="D177" t="s">
        <v>23</v>
      </c>
      <c r="E177" t="s">
        <v>14</v>
      </c>
      <c r="F177" t="s">
        <v>21</v>
      </c>
      <c r="G177">
        <v>87282</v>
      </c>
      <c r="H177">
        <v>15</v>
      </c>
      <c r="I177">
        <v>59</v>
      </c>
      <c r="J177">
        <v>5</v>
      </c>
      <c r="K177">
        <v>7</v>
      </c>
      <c r="L177" s="1">
        <v>45017</v>
      </c>
      <c r="M177" s="1"/>
      <c r="N177" t="s">
        <v>49</v>
      </c>
    </row>
    <row r="178" spans="1:14" x14ac:dyDescent="0.25">
      <c r="A178">
        <v>1177</v>
      </c>
      <c r="B178">
        <v>57</v>
      </c>
      <c r="C178" t="s">
        <v>32</v>
      </c>
      <c r="D178" t="s">
        <v>16</v>
      </c>
      <c r="E178" t="s">
        <v>28</v>
      </c>
      <c r="F178" t="s">
        <v>18</v>
      </c>
      <c r="G178">
        <v>78505</v>
      </c>
      <c r="H178">
        <v>25</v>
      </c>
      <c r="I178">
        <v>2</v>
      </c>
      <c r="J178">
        <v>4</v>
      </c>
      <c r="K178">
        <v>10</v>
      </c>
      <c r="L178" s="1">
        <v>42546</v>
      </c>
      <c r="M178" s="1">
        <v>42751</v>
      </c>
      <c r="N178" t="s">
        <v>50</v>
      </c>
    </row>
    <row r="179" spans="1:14" x14ac:dyDescent="0.25">
      <c r="A179">
        <v>1178</v>
      </c>
      <c r="B179">
        <v>30</v>
      </c>
      <c r="C179" t="s">
        <v>31</v>
      </c>
      <c r="D179" t="s">
        <v>23</v>
      </c>
      <c r="E179" t="s">
        <v>28</v>
      </c>
      <c r="F179" t="s">
        <v>29</v>
      </c>
      <c r="G179">
        <v>78866</v>
      </c>
      <c r="H179">
        <v>15</v>
      </c>
      <c r="I179">
        <v>39</v>
      </c>
      <c r="J179">
        <v>2</v>
      </c>
      <c r="K179">
        <v>6</v>
      </c>
      <c r="L179" s="1">
        <v>44449</v>
      </c>
      <c r="M179" s="1"/>
      <c r="N179" t="s">
        <v>49</v>
      </c>
    </row>
    <row r="180" spans="1:14" x14ac:dyDescent="0.25">
      <c r="A180">
        <v>1179</v>
      </c>
      <c r="B180">
        <v>22</v>
      </c>
      <c r="C180" t="s">
        <v>31</v>
      </c>
      <c r="D180" t="s">
        <v>22</v>
      </c>
      <c r="E180" t="s">
        <v>12</v>
      </c>
      <c r="F180" t="s">
        <v>17</v>
      </c>
      <c r="G180">
        <v>54967</v>
      </c>
      <c r="H180">
        <v>30</v>
      </c>
      <c r="I180">
        <v>32</v>
      </c>
      <c r="K180">
        <v>3</v>
      </c>
      <c r="L180" s="1">
        <v>43842</v>
      </c>
      <c r="M180" s="1">
        <v>44686</v>
      </c>
      <c r="N180" t="s">
        <v>50</v>
      </c>
    </row>
    <row r="181" spans="1:14" x14ac:dyDescent="0.25">
      <c r="A181">
        <v>1180</v>
      </c>
      <c r="B181">
        <v>49</v>
      </c>
      <c r="C181" t="s">
        <v>31</v>
      </c>
      <c r="D181" t="s">
        <v>13</v>
      </c>
      <c r="E181" t="s">
        <v>20</v>
      </c>
      <c r="F181" t="s">
        <v>15</v>
      </c>
      <c r="G181">
        <v>79975</v>
      </c>
      <c r="H181">
        <v>10</v>
      </c>
      <c r="I181">
        <v>23</v>
      </c>
      <c r="K181">
        <v>5</v>
      </c>
      <c r="L181" s="1">
        <v>44861</v>
      </c>
      <c r="M181" s="1">
        <v>44800</v>
      </c>
      <c r="N181" t="s">
        <v>50</v>
      </c>
    </row>
    <row r="182" spans="1:14" x14ac:dyDescent="0.25">
      <c r="A182">
        <v>1181</v>
      </c>
      <c r="B182">
        <v>31</v>
      </c>
      <c r="C182" t="s">
        <v>31</v>
      </c>
      <c r="D182" t="s">
        <v>22</v>
      </c>
      <c r="E182" t="s">
        <v>14</v>
      </c>
      <c r="F182" t="s">
        <v>15</v>
      </c>
      <c r="G182">
        <v>50661</v>
      </c>
      <c r="H182">
        <v>9</v>
      </c>
      <c r="I182">
        <v>15</v>
      </c>
      <c r="J182">
        <v>1</v>
      </c>
      <c r="K182">
        <v>10</v>
      </c>
      <c r="L182" s="1">
        <v>42844</v>
      </c>
      <c r="M182" s="1"/>
      <c r="N182" t="s">
        <v>49</v>
      </c>
    </row>
    <row r="183" spans="1:14" x14ac:dyDescent="0.25">
      <c r="A183">
        <v>1182</v>
      </c>
      <c r="B183">
        <v>50</v>
      </c>
      <c r="C183" t="s">
        <v>31</v>
      </c>
      <c r="D183" t="s">
        <v>19</v>
      </c>
      <c r="E183" t="s">
        <v>12</v>
      </c>
      <c r="F183" t="s">
        <v>17</v>
      </c>
      <c r="G183">
        <v>61382</v>
      </c>
      <c r="H183">
        <v>28</v>
      </c>
      <c r="I183">
        <v>60</v>
      </c>
      <c r="J183">
        <v>1</v>
      </c>
      <c r="K183">
        <v>8</v>
      </c>
      <c r="L183" s="1">
        <v>43455</v>
      </c>
      <c r="M183" s="1">
        <v>43595</v>
      </c>
      <c r="N183" t="s">
        <v>50</v>
      </c>
    </row>
    <row r="184" spans="1:14" x14ac:dyDescent="0.25">
      <c r="A184">
        <v>1183</v>
      </c>
      <c r="B184">
        <v>58</v>
      </c>
      <c r="C184" t="s">
        <v>32</v>
      </c>
      <c r="D184" t="s">
        <v>27</v>
      </c>
      <c r="E184" t="s">
        <v>25</v>
      </c>
      <c r="F184" t="s">
        <v>29</v>
      </c>
      <c r="G184">
        <v>79097</v>
      </c>
      <c r="H184">
        <v>21</v>
      </c>
      <c r="I184">
        <v>7</v>
      </c>
      <c r="J184">
        <v>4</v>
      </c>
      <c r="K184">
        <v>3</v>
      </c>
      <c r="L184" s="1">
        <v>44760</v>
      </c>
      <c r="M184" s="1"/>
      <c r="N184" t="s">
        <v>49</v>
      </c>
    </row>
    <row r="185" spans="1:14" x14ac:dyDescent="0.25">
      <c r="A185">
        <v>1184</v>
      </c>
      <c r="B185">
        <v>35</v>
      </c>
      <c r="C185" t="s">
        <v>32</v>
      </c>
      <c r="D185" t="s">
        <v>16</v>
      </c>
      <c r="E185" t="s">
        <v>25</v>
      </c>
      <c r="F185" t="s">
        <v>21</v>
      </c>
      <c r="G185">
        <v>91061</v>
      </c>
      <c r="H185">
        <v>15</v>
      </c>
      <c r="I185">
        <v>43</v>
      </c>
      <c r="J185">
        <v>5</v>
      </c>
      <c r="K185">
        <v>8</v>
      </c>
      <c r="L185" s="1">
        <v>44594</v>
      </c>
      <c r="M185" s="1"/>
      <c r="N185" t="s">
        <v>49</v>
      </c>
    </row>
    <row r="186" spans="1:14" x14ac:dyDescent="0.25">
      <c r="A186">
        <v>1185</v>
      </c>
      <c r="B186">
        <v>38</v>
      </c>
      <c r="C186" t="s">
        <v>31</v>
      </c>
      <c r="D186" t="s">
        <v>27</v>
      </c>
      <c r="E186" t="s">
        <v>25</v>
      </c>
      <c r="F186" t="s">
        <v>21</v>
      </c>
      <c r="G186">
        <v>84207</v>
      </c>
      <c r="H186">
        <v>18</v>
      </c>
      <c r="I186">
        <v>27</v>
      </c>
      <c r="J186">
        <v>2</v>
      </c>
      <c r="K186">
        <v>9</v>
      </c>
      <c r="L186" s="1">
        <v>43550</v>
      </c>
      <c r="M186" s="1"/>
      <c r="N186" t="s">
        <v>49</v>
      </c>
    </row>
    <row r="187" spans="1:14" x14ac:dyDescent="0.25">
      <c r="A187">
        <v>1186</v>
      </c>
      <c r="B187">
        <v>44</v>
      </c>
      <c r="C187" t="s">
        <v>32</v>
      </c>
      <c r="D187" t="s">
        <v>19</v>
      </c>
      <c r="E187" t="s">
        <v>12</v>
      </c>
      <c r="F187" t="s">
        <v>17</v>
      </c>
      <c r="G187">
        <v>95945</v>
      </c>
      <c r="H187">
        <v>22</v>
      </c>
      <c r="I187">
        <v>12</v>
      </c>
      <c r="J187">
        <v>2</v>
      </c>
      <c r="K187">
        <v>10</v>
      </c>
      <c r="L187" s="1">
        <v>43176</v>
      </c>
      <c r="M187" s="1"/>
      <c r="N187" t="s">
        <v>49</v>
      </c>
    </row>
    <row r="188" spans="1:14" x14ac:dyDescent="0.25">
      <c r="A188">
        <v>1187</v>
      </c>
      <c r="B188">
        <v>27</v>
      </c>
      <c r="C188" t="s">
        <v>31</v>
      </c>
      <c r="D188" t="s">
        <v>27</v>
      </c>
      <c r="E188" t="s">
        <v>25</v>
      </c>
      <c r="F188" t="s">
        <v>18</v>
      </c>
      <c r="G188">
        <v>78749</v>
      </c>
      <c r="H188">
        <v>22</v>
      </c>
      <c r="I188">
        <v>46</v>
      </c>
      <c r="K188">
        <v>9</v>
      </c>
      <c r="L188" s="1">
        <v>44023</v>
      </c>
      <c r="M188" s="1"/>
      <c r="N188" t="s">
        <v>49</v>
      </c>
    </row>
    <row r="189" spans="1:14" x14ac:dyDescent="0.25">
      <c r="A189">
        <v>1188</v>
      </c>
      <c r="B189">
        <v>28</v>
      </c>
      <c r="C189" t="s">
        <v>31</v>
      </c>
      <c r="D189" t="s">
        <v>23</v>
      </c>
      <c r="E189" t="s">
        <v>20</v>
      </c>
      <c r="F189" t="s">
        <v>15</v>
      </c>
      <c r="G189">
        <v>88945</v>
      </c>
      <c r="H189">
        <v>29</v>
      </c>
      <c r="I189">
        <v>27</v>
      </c>
      <c r="J189">
        <v>5</v>
      </c>
      <c r="K189">
        <v>3</v>
      </c>
      <c r="L189" s="1">
        <v>44306</v>
      </c>
      <c r="M189" s="1">
        <v>43473</v>
      </c>
      <c r="N189" t="s">
        <v>50</v>
      </c>
    </row>
    <row r="190" spans="1:14" x14ac:dyDescent="0.25">
      <c r="A190">
        <v>1189</v>
      </c>
      <c r="B190">
        <v>55</v>
      </c>
      <c r="C190" t="s">
        <v>31</v>
      </c>
      <c r="D190" t="s">
        <v>23</v>
      </c>
      <c r="E190" t="s">
        <v>25</v>
      </c>
      <c r="F190" t="s">
        <v>18</v>
      </c>
      <c r="G190">
        <v>89299</v>
      </c>
      <c r="H190">
        <v>27</v>
      </c>
      <c r="I190">
        <v>14</v>
      </c>
      <c r="J190">
        <v>5</v>
      </c>
      <c r="K190">
        <v>1</v>
      </c>
      <c r="L190" s="1">
        <v>43999</v>
      </c>
      <c r="M190" s="1">
        <v>45303</v>
      </c>
      <c r="N190" t="s">
        <v>50</v>
      </c>
    </row>
    <row r="191" spans="1:14" x14ac:dyDescent="0.25">
      <c r="A191">
        <v>1190</v>
      </c>
      <c r="B191">
        <v>57</v>
      </c>
      <c r="C191" t="s">
        <v>32</v>
      </c>
      <c r="D191" t="s">
        <v>16</v>
      </c>
      <c r="E191" t="s">
        <v>12</v>
      </c>
      <c r="F191" t="s">
        <v>17</v>
      </c>
      <c r="G191">
        <v>74141</v>
      </c>
      <c r="H191">
        <v>7</v>
      </c>
      <c r="I191">
        <v>45</v>
      </c>
      <c r="J191">
        <v>4</v>
      </c>
      <c r="K191">
        <v>1</v>
      </c>
      <c r="L191" s="1">
        <v>45358</v>
      </c>
      <c r="M191" s="1"/>
      <c r="N191" t="s">
        <v>49</v>
      </c>
    </row>
    <row r="192" spans="1:14" x14ac:dyDescent="0.25">
      <c r="A192">
        <v>1191</v>
      </c>
      <c r="B192">
        <v>41</v>
      </c>
      <c r="C192" t="s">
        <v>32</v>
      </c>
      <c r="D192" t="s">
        <v>22</v>
      </c>
      <c r="E192" t="s">
        <v>28</v>
      </c>
      <c r="F192" t="s">
        <v>45</v>
      </c>
      <c r="G192">
        <v>107196</v>
      </c>
      <c r="H192">
        <v>29</v>
      </c>
      <c r="I192">
        <v>22</v>
      </c>
      <c r="J192">
        <v>3</v>
      </c>
      <c r="K192">
        <v>9</v>
      </c>
      <c r="L192" s="1">
        <v>43849</v>
      </c>
      <c r="M192" s="1"/>
      <c r="N192" t="s">
        <v>49</v>
      </c>
    </row>
    <row r="193" spans="1:14" x14ac:dyDescent="0.25">
      <c r="A193">
        <v>1192</v>
      </c>
      <c r="B193">
        <v>23</v>
      </c>
      <c r="C193" t="s">
        <v>32</v>
      </c>
      <c r="D193" t="s">
        <v>22</v>
      </c>
      <c r="E193" t="s">
        <v>28</v>
      </c>
      <c r="F193" t="s">
        <v>45</v>
      </c>
      <c r="G193">
        <v>93153</v>
      </c>
      <c r="H193">
        <v>10</v>
      </c>
      <c r="I193">
        <v>50</v>
      </c>
      <c r="J193">
        <v>4</v>
      </c>
      <c r="K193">
        <v>4</v>
      </c>
      <c r="L193" s="1">
        <v>44141</v>
      </c>
      <c r="M193" s="1"/>
      <c r="N193" t="s">
        <v>49</v>
      </c>
    </row>
    <row r="194" spans="1:14" x14ac:dyDescent="0.25">
      <c r="A194">
        <v>1193</v>
      </c>
      <c r="B194">
        <v>44</v>
      </c>
      <c r="C194" t="s">
        <v>31</v>
      </c>
      <c r="D194" t="s">
        <v>13</v>
      </c>
      <c r="E194" t="s">
        <v>25</v>
      </c>
      <c r="F194" t="s">
        <v>18</v>
      </c>
      <c r="G194">
        <v>96516</v>
      </c>
      <c r="H194">
        <v>30</v>
      </c>
      <c r="I194">
        <v>4</v>
      </c>
      <c r="J194">
        <v>4</v>
      </c>
      <c r="K194">
        <v>8</v>
      </c>
      <c r="L194" s="1">
        <v>43656</v>
      </c>
      <c r="M194" s="1"/>
      <c r="N194" t="s">
        <v>49</v>
      </c>
    </row>
    <row r="195" spans="1:14" x14ac:dyDescent="0.25">
      <c r="A195">
        <v>1194</v>
      </c>
      <c r="B195">
        <v>44</v>
      </c>
      <c r="C195" t="s">
        <v>32</v>
      </c>
      <c r="D195" t="s">
        <v>23</v>
      </c>
      <c r="E195" t="s">
        <v>25</v>
      </c>
      <c r="F195" t="s">
        <v>17</v>
      </c>
      <c r="G195">
        <v>80097</v>
      </c>
      <c r="H195">
        <v>2</v>
      </c>
      <c r="I195">
        <v>37</v>
      </c>
      <c r="J195">
        <v>2</v>
      </c>
      <c r="K195">
        <v>5</v>
      </c>
      <c r="L195" s="1">
        <v>43750</v>
      </c>
      <c r="M195" s="1"/>
      <c r="N195" t="s">
        <v>49</v>
      </c>
    </row>
    <row r="196" spans="1:14" x14ac:dyDescent="0.25">
      <c r="A196">
        <v>1195</v>
      </c>
      <c r="B196">
        <v>47</v>
      </c>
      <c r="C196" t="s">
        <v>31</v>
      </c>
      <c r="D196" t="s">
        <v>27</v>
      </c>
      <c r="E196" t="s">
        <v>20</v>
      </c>
      <c r="F196" t="s">
        <v>29</v>
      </c>
      <c r="G196">
        <v>89762</v>
      </c>
      <c r="H196">
        <v>30</v>
      </c>
      <c r="I196">
        <v>12</v>
      </c>
      <c r="J196">
        <v>3</v>
      </c>
      <c r="K196">
        <v>3</v>
      </c>
      <c r="L196" s="1">
        <v>44767</v>
      </c>
      <c r="M196" s="1"/>
      <c r="N196" t="s">
        <v>49</v>
      </c>
    </row>
    <row r="197" spans="1:14" x14ac:dyDescent="0.25">
      <c r="A197">
        <v>1196</v>
      </c>
      <c r="B197">
        <v>52</v>
      </c>
      <c r="C197" t="s">
        <v>32</v>
      </c>
      <c r="D197" t="s">
        <v>27</v>
      </c>
      <c r="E197" t="s">
        <v>14</v>
      </c>
      <c r="F197" t="s">
        <v>29</v>
      </c>
      <c r="G197">
        <v>56769</v>
      </c>
      <c r="H197">
        <v>3</v>
      </c>
      <c r="I197">
        <v>10</v>
      </c>
      <c r="J197">
        <v>1</v>
      </c>
      <c r="K197">
        <v>8</v>
      </c>
      <c r="L197" s="1">
        <v>44014</v>
      </c>
      <c r="M197" s="1"/>
      <c r="N197" t="s">
        <v>49</v>
      </c>
    </row>
    <row r="198" spans="1:14" x14ac:dyDescent="0.25">
      <c r="A198">
        <v>1197</v>
      </c>
      <c r="B198">
        <v>43</v>
      </c>
      <c r="C198" t="s">
        <v>32</v>
      </c>
      <c r="D198" t="s">
        <v>22</v>
      </c>
      <c r="E198" t="s">
        <v>14</v>
      </c>
      <c r="F198" t="s">
        <v>29</v>
      </c>
      <c r="G198">
        <v>66664</v>
      </c>
      <c r="H198">
        <v>2</v>
      </c>
      <c r="I198">
        <v>53</v>
      </c>
      <c r="J198">
        <v>4</v>
      </c>
      <c r="K198">
        <v>9</v>
      </c>
      <c r="L198" s="1">
        <v>45455</v>
      </c>
      <c r="M198" s="1"/>
      <c r="N198" t="s">
        <v>49</v>
      </c>
    </row>
    <row r="199" spans="1:14" x14ac:dyDescent="0.25">
      <c r="A199">
        <v>1198</v>
      </c>
      <c r="B199">
        <v>49</v>
      </c>
      <c r="C199" t="s">
        <v>32</v>
      </c>
      <c r="D199" t="s">
        <v>13</v>
      </c>
      <c r="E199" t="s">
        <v>20</v>
      </c>
      <c r="F199" t="s">
        <v>45</v>
      </c>
      <c r="G199">
        <v>68203</v>
      </c>
      <c r="H199">
        <v>1</v>
      </c>
      <c r="I199">
        <v>11</v>
      </c>
      <c r="J199">
        <v>3</v>
      </c>
      <c r="K199">
        <v>2</v>
      </c>
      <c r="L199" s="1">
        <v>42295</v>
      </c>
      <c r="M199" s="1"/>
      <c r="N199" t="s">
        <v>49</v>
      </c>
    </row>
    <row r="200" spans="1:14" x14ac:dyDescent="0.25">
      <c r="A200">
        <v>1199</v>
      </c>
      <c r="B200">
        <v>41</v>
      </c>
      <c r="C200" t="s">
        <v>31</v>
      </c>
      <c r="D200" t="s">
        <v>22</v>
      </c>
      <c r="E200" t="s">
        <v>28</v>
      </c>
      <c r="F200" t="s">
        <v>17</v>
      </c>
      <c r="G200">
        <v>50204</v>
      </c>
      <c r="H200">
        <v>18</v>
      </c>
      <c r="I200">
        <v>50</v>
      </c>
      <c r="J200">
        <v>1</v>
      </c>
      <c r="K200">
        <v>5</v>
      </c>
      <c r="L200" s="1">
        <v>44385</v>
      </c>
      <c r="M200" s="1"/>
      <c r="N200" t="s">
        <v>49</v>
      </c>
    </row>
    <row r="201" spans="1:14" x14ac:dyDescent="0.25">
      <c r="A201">
        <v>1200</v>
      </c>
      <c r="B201">
        <v>35</v>
      </c>
      <c r="C201" t="s">
        <v>32</v>
      </c>
      <c r="D201" t="s">
        <v>13</v>
      </c>
      <c r="E201" t="s">
        <v>20</v>
      </c>
      <c r="F201" t="s">
        <v>29</v>
      </c>
      <c r="G201">
        <v>54552</v>
      </c>
      <c r="H201">
        <v>17</v>
      </c>
      <c r="I201">
        <v>53</v>
      </c>
      <c r="K201">
        <v>6</v>
      </c>
      <c r="L201" s="1">
        <v>42064</v>
      </c>
      <c r="M201" s="1">
        <v>44753</v>
      </c>
      <c r="N201" t="s">
        <v>50</v>
      </c>
    </row>
    <row r="202" spans="1:14" x14ac:dyDescent="0.25">
      <c r="A202">
        <v>1201</v>
      </c>
      <c r="B202">
        <v>36</v>
      </c>
      <c r="C202" t="s">
        <v>32</v>
      </c>
      <c r="D202" t="s">
        <v>13</v>
      </c>
      <c r="E202" t="s">
        <v>20</v>
      </c>
      <c r="F202" t="s">
        <v>18</v>
      </c>
      <c r="G202">
        <v>86988</v>
      </c>
      <c r="H202">
        <v>13</v>
      </c>
      <c r="I202">
        <v>10</v>
      </c>
      <c r="J202">
        <v>4</v>
      </c>
      <c r="K202">
        <v>6</v>
      </c>
      <c r="L202" s="1">
        <v>43416</v>
      </c>
      <c r="M202" s="1"/>
      <c r="N202" t="s">
        <v>49</v>
      </c>
    </row>
    <row r="203" spans="1:14" x14ac:dyDescent="0.25">
      <c r="A203">
        <v>1202</v>
      </c>
      <c r="B203">
        <v>47</v>
      </c>
      <c r="C203" t="s">
        <v>32</v>
      </c>
      <c r="D203" t="s">
        <v>23</v>
      </c>
      <c r="E203" t="s">
        <v>20</v>
      </c>
      <c r="F203" t="s">
        <v>45</v>
      </c>
      <c r="G203">
        <v>103293</v>
      </c>
      <c r="H203">
        <v>29</v>
      </c>
      <c r="I203">
        <v>19</v>
      </c>
      <c r="J203">
        <v>5</v>
      </c>
      <c r="K203">
        <v>7</v>
      </c>
      <c r="L203" s="1">
        <v>44760</v>
      </c>
      <c r="M203" s="1"/>
      <c r="N203" t="s">
        <v>49</v>
      </c>
    </row>
    <row r="204" spans="1:14" x14ac:dyDescent="0.25">
      <c r="A204">
        <v>1203</v>
      </c>
      <c r="B204">
        <v>54</v>
      </c>
      <c r="C204" t="s">
        <v>32</v>
      </c>
      <c r="D204" t="s">
        <v>13</v>
      </c>
      <c r="E204" t="s">
        <v>20</v>
      </c>
      <c r="F204" t="s">
        <v>15</v>
      </c>
      <c r="G204">
        <v>99613</v>
      </c>
      <c r="H204">
        <v>22</v>
      </c>
      <c r="I204">
        <v>36</v>
      </c>
      <c r="J204">
        <v>3</v>
      </c>
      <c r="K204">
        <v>10</v>
      </c>
      <c r="L204" s="1">
        <v>43853</v>
      </c>
      <c r="M204" s="1"/>
      <c r="N204" t="s">
        <v>49</v>
      </c>
    </row>
    <row r="205" spans="1:14" x14ac:dyDescent="0.25">
      <c r="A205">
        <v>1204</v>
      </c>
      <c r="B205">
        <v>27</v>
      </c>
      <c r="C205" t="s">
        <v>32</v>
      </c>
      <c r="D205" t="s">
        <v>13</v>
      </c>
      <c r="E205" t="s">
        <v>14</v>
      </c>
      <c r="F205" t="s">
        <v>15</v>
      </c>
      <c r="G205">
        <v>82752</v>
      </c>
      <c r="H205">
        <v>10</v>
      </c>
      <c r="I205">
        <v>22</v>
      </c>
      <c r="J205">
        <v>4</v>
      </c>
      <c r="K205">
        <v>2</v>
      </c>
      <c r="L205" s="1">
        <v>42451</v>
      </c>
      <c r="M205" s="1"/>
      <c r="N205" t="s">
        <v>49</v>
      </c>
    </row>
    <row r="206" spans="1:14" x14ac:dyDescent="0.25">
      <c r="A206">
        <v>1205</v>
      </c>
      <c r="B206">
        <v>38</v>
      </c>
      <c r="C206" t="s">
        <v>32</v>
      </c>
      <c r="D206" t="s">
        <v>23</v>
      </c>
      <c r="E206" t="s">
        <v>14</v>
      </c>
      <c r="F206" t="s">
        <v>15</v>
      </c>
      <c r="G206">
        <v>97196</v>
      </c>
      <c r="H206">
        <v>0</v>
      </c>
      <c r="I206">
        <v>10</v>
      </c>
      <c r="J206">
        <v>3</v>
      </c>
      <c r="K206">
        <v>7</v>
      </c>
      <c r="L206" s="1">
        <v>44241</v>
      </c>
      <c r="M206" s="1"/>
      <c r="N206" t="s">
        <v>49</v>
      </c>
    </row>
    <row r="207" spans="1:14" x14ac:dyDescent="0.25">
      <c r="A207">
        <v>1206</v>
      </c>
      <c r="B207">
        <v>50</v>
      </c>
      <c r="C207" t="s">
        <v>32</v>
      </c>
      <c r="D207" t="s">
        <v>22</v>
      </c>
      <c r="E207" t="s">
        <v>25</v>
      </c>
      <c r="F207" t="s">
        <v>18</v>
      </c>
      <c r="G207">
        <v>103326</v>
      </c>
      <c r="H207">
        <v>12</v>
      </c>
      <c r="I207">
        <v>8</v>
      </c>
      <c r="K207">
        <v>8</v>
      </c>
      <c r="L207" s="1">
        <v>43881</v>
      </c>
      <c r="M207" s="1"/>
      <c r="N207" t="s">
        <v>49</v>
      </c>
    </row>
    <row r="208" spans="1:14" x14ac:dyDescent="0.25">
      <c r="A208">
        <v>1207</v>
      </c>
      <c r="B208">
        <v>40</v>
      </c>
      <c r="C208" t="s">
        <v>31</v>
      </c>
      <c r="D208" t="s">
        <v>23</v>
      </c>
      <c r="E208" t="s">
        <v>12</v>
      </c>
      <c r="F208" t="s">
        <v>29</v>
      </c>
      <c r="G208">
        <v>106148</v>
      </c>
      <c r="H208">
        <v>0</v>
      </c>
      <c r="I208">
        <v>9</v>
      </c>
      <c r="J208">
        <v>5</v>
      </c>
      <c r="K208">
        <v>3</v>
      </c>
      <c r="L208" s="1">
        <v>45148</v>
      </c>
      <c r="M208" s="1"/>
      <c r="N208" t="s">
        <v>49</v>
      </c>
    </row>
    <row r="209" spans="1:14" x14ac:dyDescent="0.25">
      <c r="A209">
        <v>1208</v>
      </c>
      <c r="B209">
        <v>28</v>
      </c>
      <c r="C209" t="s">
        <v>32</v>
      </c>
      <c r="D209" t="s">
        <v>13</v>
      </c>
      <c r="E209" t="s">
        <v>20</v>
      </c>
      <c r="F209" t="s">
        <v>29</v>
      </c>
      <c r="G209">
        <v>104930</v>
      </c>
      <c r="H209">
        <v>19</v>
      </c>
      <c r="I209">
        <v>32</v>
      </c>
      <c r="J209">
        <v>2</v>
      </c>
      <c r="K209">
        <v>4</v>
      </c>
      <c r="L209" s="1">
        <v>45156</v>
      </c>
      <c r="M209" s="1"/>
      <c r="N209" t="s">
        <v>49</v>
      </c>
    </row>
    <row r="210" spans="1:14" x14ac:dyDescent="0.25">
      <c r="A210">
        <v>1209</v>
      </c>
      <c r="B210">
        <v>59</v>
      </c>
      <c r="C210" t="s">
        <v>31</v>
      </c>
      <c r="D210" t="s">
        <v>16</v>
      </c>
      <c r="E210" t="s">
        <v>20</v>
      </c>
      <c r="F210" t="s">
        <v>17</v>
      </c>
      <c r="G210">
        <v>52900</v>
      </c>
      <c r="H210">
        <v>21</v>
      </c>
      <c r="I210">
        <v>15</v>
      </c>
      <c r="J210">
        <v>3</v>
      </c>
      <c r="K210">
        <v>9</v>
      </c>
      <c r="L210" s="1">
        <v>44544</v>
      </c>
      <c r="M210" s="1">
        <v>45648</v>
      </c>
      <c r="N210" t="s">
        <v>50</v>
      </c>
    </row>
    <row r="211" spans="1:14" x14ac:dyDescent="0.25">
      <c r="A211">
        <v>1210</v>
      </c>
      <c r="B211">
        <v>55</v>
      </c>
      <c r="C211" t="s">
        <v>32</v>
      </c>
      <c r="D211" t="s">
        <v>27</v>
      </c>
      <c r="E211" t="s">
        <v>14</v>
      </c>
      <c r="F211" t="s">
        <v>18</v>
      </c>
      <c r="G211">
        <v>56213</v>
      </c>
      <c r="H211">
        <v>26</v>
      </c>
      <c r="I211">
        <v>4</v>
      </c>
      <c r="J211">
        <v>5</v>
      </c>
      <c r="K211">
        <v>9</v>
      </c>
      <c r="L211" s="1">
        <v>43901</v>
      </c>
      <c r="M211" s="1"/>
      <c r="N211" t="s">
        <v>49</v>
      </c>
    </row>
    <row r="212" spans="1:14" x14ac:dyDescent="0.25">
      <c r="A212">
        <v>1211</v>
      </c>
      <c r="B212">
        <v>52</v>
      </c>
      <c r="C212" t="s">
        <v>32</v>
      </c>
      <c r="D212" t="s">
        <v>19</v>
      </c>
      <c r="E212" t="s">
        <v>14</v>
      </c>
      <c r="F212" t="s">
        <v>15</v>
      </c>
      <c r="G212">
        <v>108167</v>
      </c>
      <c r="H212">
        <v>24</v>
      </c>
      <c r="I212">
        <v>14</v>
      </c>
      <c r="J212">
        <v>1</v>
      </c>
      <c r="K212">
        <v>8</v>
      </c>
      <c r="L212" s="1">
        <v>43458</v>
      </c>
      <c r="M212" s="1"/>
      <c r="N212" t="s">
        <v>49</v>
      </c>
    </row>
    <row r="213" spans="1:14" x14ac:dyDescent="0.25">
      <c r="A213">
        <v>1212</v>
      </c>
      <c r="B213">
        <v>53</v>
      </c>
      <c r="C213" t="s">
        <v>31</v>
      </c>
      <c r="D213" t="s">
        <v>23</v>
      </c>
      <c r="E213" t="s">
        <v>20</v>
      </c>
      <c r="F213" t="s">
        <v>17</v>
      </c>
      <c r="G213">
        <v>75427</v>
      </c>
      <c r="H213">
        <v>12</v>
      </c>
      <c r="I213">
        <v>31</v>
      </c>
      <c r="J213">
        <v>4</v>
      </c>
      <c r="K213">
        <v>7</v>
      </c>
      <c r="L213" s="1">
        <v>43623</v>
      </c>
      <c r="M213" s="1"/>
      <c r="N213" t="s">
        <v>49</v>
      </c>
    </row>
    <row r="214" spans="1:14" x14ac:dyDescent="0.25">
      <c r="A214">
        <v>1213</v>
      </c>
      <c r="B214">
        <v>57</v>
      </c>
      <c r="C214" t="s">
        <v>32</v>
      </c>
      <c r="D214" t="s">
        <v>22</v>
      </c>
      <c r="E214" t="s">
        <v>20</v>
      </c>
      <c r="F214" t="s">
        <v>17</v>
      </c>
      <c r="G214">
        <v>96244</v>
      </c>
      <c r="H214">
        <v>22</v>
      </c>
      <c r="I214">
        <v>27</v>
      </c>
      <c r="J214">
        <v>3</v>
      </c>
      <c r="K214">
        <v>5</v>
      </c>
      <c r="L214" s="1">
        <v>45391</v>
      </c>
      <c r="M214" s="1"/>
      <c r="N214" t="s">
        <v>49</v>
      </c>
    </row>
    <row r="215" spans="1:14" x14ac:dyDescent="0.25">
      <c r="A215">
        <v>1214</v>
      </c>
      <c r="B215">
        <v>26</v>
      </c>
      <c r="C215" t="s">
        <v>32</v>
      </c>
      <c r="D215" t="s">
        <v>23</v>
      </c>
      <c r="E215" t="s">
        <v>14</v>
      </c>
      <c r="F215" t="s">
        <v>29</v>
      </c>
      <c r="G215">
        <v>68888</v>
      </c>
      <c r="H215">
        <v>9</v>
      </c>
      <c r="I215">
        <v>55</v>
      </c>
      <c r="K215">
        <v>5</v>
      </c>
      <c r="L215" s="1">
        <v>42930</v>
      </c>
      <c r="M215" s="1"/>
      <c r="N215" t="s">
        <v>49</v>
      </c>
    </row>
    <row r="216" spans="1:14" x14ac:dyDescent="0.25">
      <c r="A216">
        <v>1215</v>
      </c>
      <c r="B216">
        <v>46</v>
      </c>
      <c r="C216" t="s">
        <v>31</v>
      </c>
      <c r="D216" t="s">
        <v>23</v>
      </c>
      <c r="E216" t="s">
        <v>25</v>
      </c>
      <c r="F216" t="s">
        <v>17</v>
      </c>
      <c r="G216">
        <v>78515</v>
      </c>
      <c r="H216">
        <v>26</v>
      </c>
      <c r="I216">
        <v>14</v>
      </c>
      <c r="J216">
        <v>4</v>
      </c>
      <c r="K216">
        <v>8</v>
      </c>
      <c r="L216" s="1">
        <v>43332</v>
      </c>
      <c r="M216" s="1"/>
      <c r="N216" t="s">
        <v>49</v>
      </c>
    </row>
    <row r="217" spans="1:14" x14ac:dyDescent="0.25">
      <c r="A217">
        <v>1216</v>
      </c>
      <c r="B217">
        <v>33</v>
      </c>
      <c r="C217" t="s">
        <v>32</v>
      </c>
      <c r="D217" t="s">
        <v>13</v>
      </c>
      <c r="E217" t="s">
        <v>14</v>
      </c>
      <c r="F217" t="s">
        <v>29</v>
      </c>
      <c r="G217">
        <v>50533</v>
      </c>
      <c r="H217">
        <v>3</v>
      </c>
      <c r="I217">
        <v>20</v>
      </c>
      <c r="J217">
        <v>3</v>
      </c>
      <c r="K217">
        <v>4</v>
      </c>
      <c r="L217" s="1">
        <v>42364</v>
      </c>
      <c r="M217" s="1"/>
      <c r="N217" t="s">
        <v>49</v>
      </c>
    </row>
    <row r="218" spans="1:14" x14ac:dyDescent="0.25">
      <c r="A218">
        <v>1217</v>
      </c>
      <c r="B218">
        <v>46</v>
      </c>
      <c r="C218" t="s">
        <v>31</v>
      </c>
      <c r="D218" t="s">
        <v>13</v>
      </c>
      <c r="E218" t="s">
        <v>14</v>
      </c>
      <c r="F218" t="s">
        <v>15</v>
      </c>
      <c r="G218">
        <v>64469</v>
      </c>
      <c r="H218">
        <v>24</v>
      </c>
      <c r="I218">
        <v>11</v>
      </c>
      <c r="K218">
        <v>8</v>
      </c>
      <c r="L218" s="1">
        <v>44009</v>
      </c>
      <c r="M218" s="1">
        <v>43002</v>
      </c>
      <c r="N218" t="s">
        <v>50</v>
      </c>
    </row>
    <row r="219" spans="1:14" x14ac:dyDescent="0.25">
      <c r="A219">
        <v>1218</v>
      </c>
      <c r="B219">
        <v>53</v>
      </c>
      <c r="C219" t="s">
        <v>31</v>
      </c>
      <c r="D219" t="s">
        <v>27</v>
      </c>
      <c r="E219" t="s">
        <v>20</v>
      </c>
      <c r="F219" t="s">
        <v>17</v>
      </c>
      <c r="G219">
        <v>77232</v>
      </c>
      <c r="H219">
        <v>22</v>
      </c>
      <c r="I219">
        <v>55</v>
      </c>
      <c r="J219">
        <v>1</v>
      </c>
      <c r="K219">
        <v>9</v>
      </c>
      <c r="L219" s="1">
        <v>43446</v>
      </c>
      <c r="M219" s="1"/>
      <c r="N219" t="s">
        <v>49</v>
      </c>
    </row>
    <row r="220" spans="1:14" x14ac:dyDescent="0.25">
      <c r="A220">
        <v>1219</v>
      </c>
      <c r="B220">
        <v>59</v>
      </c>
      <c r="C220" t="s">
        <v>31</v>
      </c>
      <c r="D220" t="s">
        <v>23</v>
      </c>
      <c r="E220" t="s">
        <v>12</v>
      </c>
      <c r="F220" t="s">
        <v>45</v>
      </c>
      <c r="G220">
        <v>85804</v>
      </c>
      <c r="H220">
        <v>0</v>
      </c>
      <c r="I220">
        <v>19</v>
      </c>
      <c r="J220">
        <v>5</v>
      </c>
      <c r="K220">
        <v>9</v>
      </c>
      <c r="L220" s="1">
        <v>45185</v>
      </c>
      <c r="M220" s="1"/>
      <c r="N220" t="s">
        <v>49</v>
      </c>
    </row>
    <row r="221" spans="1:14" x14ac:dyDescent="0.25">
      <c r="A221">
        <v>1220</v>
      </c>
      <c r="B221">
        <v>30</v>
      </c>
      <c r="C221" t="s">
        <v>32</v>
      </c>
      <c r="D221" t="s">
        <v>23</v>
      </c>
      <c r="E221" t="s">
        <v>20</v>
      </c>
      <c r="F221" t="s">
        <v>15</v>
      </c>
      <c r="G221">
        <v>50081</v>
      </c>
      <c r="H221">
        <v>17</v>
      </c>
      <c r="I221">
        <v>56</v>
      </c>
      <c r="J221">
        <v>2</v>
      </c>
      <c r="K221">
        <v>3</v>
      </c>
      <c r="L221" s="1">
        <v>44660</v>
      </c>
      <c r="M221" s="1"/>
      <c r="N221" t="s">
        <v>49</v>
      </c>
    </row>
    <row r="222" spans="1:14" x14ac:dyDescent="0.25">
      <c r="A222">
        <v>1221</v>
      </c>
      <c r="B222">
        <v>29</v>
      </c>
      <c r="C222" t="s">
        <v>32</v>
      </c>
      <c r="D222" t="s">
        <v>13</v>
      </c>
      <c r="E222" t="s">
        <v>28</v>
      </c>
      <c r="F222" t="s">
        <v>45</v>
      </c>
      <c r="G222">
        <v>102577</v>
      </c>
      <c r="H222">
        <v>11</v>
      </c>
      <c r="I222">
        <v>56</v>
      </c>
      <c r="J222">
        <v>5</v>
      </c>
      <c r="K222">
        <v>1</v>
      </c>
      <c r="L222" s="1">
        <v>44275</v>
      </c>
      <c r="M222" s="1"/>
      <c r="N222" t="s">
        <v>49</v>
      </c>
    </row>
    <row r="223" spans="1:14" x14ac:dyDescent="0.25">
      <c r="A223">
        <v>1222</v>
      </c>
      <c r="B223">
        <v>26</v>
      </c>
      <c r="C223" t="s">
        <v>31</v>
      </c>
      <c r="D223" t="s">
        <v>13</v>
      </c>
      <c r="E223" t="s">
        <v>12</v>
      </c>
      <c r="F223" t="s">
        <v>15</v>
      </c>
      <c r="G223">
        <v>59318</v>
      </c>
      <c r="H223">
        <v>24</v>
      </c>
      <c r="I223">
        <v>54</v>
      </c>
      <c r="J223">
        <v>3</v>
      </c>
      <c r="K223">
        <v>9</v>
      </c>
      <c r="L223" s="1">
        <v>43013</v>
      </c>
      <c r="M223" s="1"/>
      <c r="N223" t="s">
        <v>49</v>
      </c>
    </row>
    <row r="224" spans="1:14" x14ac:dyDescent="0.25">
      <c r="A224">
        <v>1223</v>
      </c>
      <c r="B224">
        <v>34</v>
      </c>
      <c r="C224" t="s">
        <v>31</v>
      </c>
      <c r="D224" t="s">
        <v>27</v>
      </c>
      <c r="E224" t="s">
        <v>20</v>
      </c>
      <c r="F224" t="s">
        <v>15</v>
      </c>
      <c r="G224">
        <v>62349</v>
      </c>
      <c r="H224">
        <v>5</v>
      </c>
      <c r="I224">
        <v>49</v>
      </c>
      <c r="J224">
        <v>4</v>
      </c>
      <c r="K224">
        <v>5</v>
      </c>
      <c r="L224" s="1">
        <v>44070</v>
      </c>
      <c r="M224" s="1"/>
      <c r="N224" t="s">
        <v>49</v>
      </c>
    </row>
    <row r="225" spans="1:14" x14ac:dyDescent="0.25">
      <c r="A225">
        <v>1224</v>
      </c>
      <c r="B225">
        <v>54</v>
      </c>
      <c r="C225" t="s">
        <v>31</v>
      </c>
      <c r="D225" t="s">
        <v>16</v>
      </c>
      <c r="E225" t="s">
        <v>25</v>
      </c>
      <c r="F225" t="s">
        <v>29</v>
      </c>
      <c r="G225">
        <v>97360</v>
      </c>
      <c r="H225">
        <v>15</v>
      </c>
      <c r="I225">
        <v>19</v>
      </c>
      <c r="K225">
        <v>2</v>
      </c>
      <c r="L225" s="1">
        <v>43215</v>
      </c>
      <c r="M225" s="1"/>
      <c r="N225" t="s">
        <v>49</v>
      </c>
    </row>
    <row r="226" spans="1:14" x14ac:dyDescent="0.25">
      <c r="A226">
        <v>1225</v>
      </c>
      <c r="B226">
        <v>56</v>
      </c>
      <c r="C226" t="s">
        <v>32</v>
      </c>
      <c r="D226" t="s">
        <v>22</v>
      </c>
      <c r="E226" t="s">
        <v>14</v>
      </c>
      <c r="F226" t="s">
        <v>17</v>
      </c>
      <c r="G226">
        <v>63318</v>
      </c>
      <c r="H226">
        <v>28</v>
      </c>
      <c r="I226">
        <v>58</v>
      </c>
      <c r="J226">
        <v>1</v>
      </c>
      <c r="K226">
        <v>10</v>
      </c>
      <c r="L226" s="1">
        <v>45181</v>
      </c>
      <c r="M226" s="1">
        <v>45522</v>
      </c>
      <c r="N226" t="s">
        <v>50</v>
      </c>
    </row>
    <row r="227" spans="1:14" x14ac:dyDescent="0.25">
      <c r="A227">
        <v>1226</v>
      </c>
      <c r="B227">
        <v>46</v>
      </c>
      <c r="C227" t="s">
        <v>31</v>
      </c>
      <c r="D227" t="s">
        <v>13</v>
      </c>
      <c r="E227" t="s">
        <v>12</v>
      </c>
      <c r="F227" t="s">
        <v>26</v>
      </c>
      <c r="G227">
        <v>72227</v>
      </c>
      <c r="H227">
        <v>22</v>
      </c>
      <c r="I227">
        <v>53</v>
      </c>
      <c r="K227">
        <v>5</v>
      </c>
      <c r="L227" s="1">
        <v>43655</v>
      </c>
      <c r="M227" s="1">
        <v>44223</v>
      </c>
      <c r="N227" t="s">
        <v>50</v>
      </c>
    </row>
    <row r="228" spans="1:14" x14ac:dyDescent="0.25">
      <c r="A228">
        <v>1227</v>
      </c>
      <c r="B228">
        <v>54</v>
      </c>
      <c r="C228" t="s">
        <v>31</v>
      </c>
      <c r="D228" t="s">
        <v>22</v>
      </c>
      <c r="E228" t="s">
        <v>14</v>
      </c>
      <c r="F228" t="s">
        <v>21</v>
      </c>
      <c r="G228">
        <v>73673</v>
      </c>
      <c r="H228">
        <v>0</v>
      </c>
      <c r="I228">
        <v>29</v>
      </c>
      <c r="J228">
        <v>4</v>
      </c>
      <c r="K228">
        <v>7</v>
      </c>
      <c r="L228" s="1">
        <v>42829</v>
      </c>
      <c r="M228" s="1"/>
      <c r="N228" t="s">
        <v>49</v>
      </c>
    </row>
    <row r="229" spans="1:14" x14ac:dyDescent="0.25">
      <c r="A229">
        <v>1228</v>
      </c>
      <c r="B229">
        <v>52</v>
      </c>
      <c r="C229" t="s">
        <v>32</v>
      </c>
      <c r="D229" t="s">
        <v>27</v>
      </c>
      <c r="E229" t="s">
        <v>25</v>
      </c>
      <c r="F229" t="s">
        <v>17</v>
      </c>
      <c r="G229">
        <v>99349</v>
      </c>
      <c r="H229">
        <v>22</v>
      </c>
      <c r="I229">
        <v>45</v>
      </c>
      <c r="J229">
        <v>1</v>
      </c>
      <c r="K229">
        <v>2</v>
      </c>
      <c r="L229" s="1">
        <v>42418</v>
      </c>
      <c r="M229" s="1"/>
      <c r="N229" t="s">
        <v>49</v>
      </c>
    </row>
    <row r="230" spans="1:14" x14ac:dyDescent="0.25">
      <c r="A230">
        <v>1229</v>
      </c>
      <c r="B230">
        <v>22</v>
      </c>
      <c r="C230" t="s">
        <v>31</v>
      </c>
      <c r="D230" t="s">
        <v>22</v>
      </c>
      <c r="E230" t="s">
        <v>25</v>
      </c>
      <c r="F230" t="s">
        <v>29</v>
      </c>
      <c r="G230">
        <v>77809</v>
      </c>
      <c r="H230">
        <v>26</v>
      </c>
      <c r="I230">
        <v>6</v>
      </c>
      <c r="K230">
        <v>7</v>
      </c>
      <c r="L230" s="1">
        <v>43034</v>
      </c>
      <c r="M230" s="1">
        <v>43211</v>
      </c>
      <c r="N230" t="s">
        <v>50</v>
      </c>
    </row>
    <row r="231" spans="1:14" x14ac:dyDescent="0.25">
      <c r="A231">
        <v>1230</v>
      </c>
      <c r="B231">
        <v>38</v>
      </c>
      <c r="C231" t="s">
        <v>31</v>
      </c>
      <c r="D231" t="s">
        <v>16</v>
      </c>
      <c r="E231" t="s">
        <v>12</v>
      </c>
      <c r="F231" t="s">
        <v>21</v>
      </c>
      <c r="G231">
        <v>58091</v>
      </c>
      <c r="H231">
        <v>28</v>
      </c>
      <c r="I231">
        <v>46</v>
      </c>
      <c r="J231">
        <v>5</v>
      </c>
      <c r="K231">
        <v>1</v>
      </c>
      <c r="L231" s="1">
        <v>44728</v>
      </c>
      <c r="M231" s="1"/>
      <c r="N231" t="s">
        <v>49</v>
      </c>
    </row>
    <row r="232" spans="1:14" x14ac:dyDescent="0.25">
      <c r="A232">
        <v>1231</v>
      </c>
      <c r="B232">
        <v>24</v>
      </c>
      <c r="C232" t="s">
        <v>31</v>
      </c>
      <c r="D232" t="s">
        <v>27</v>
      </c>
      <c r="E232" t="s">
        <v>28</v>
      </c>
      <c r="F232" t="s">
        <v>17</v>
      </c>
      <c r="G232">
        <v>95307</v>
      </c>
      <c r="H232">
        <v>14</v>
      </c>
      <c r="I232">
        <v>8</v>
      </c>
      <c r="J232">
        <v>5</v>
      </c>
      <c r="K232">
        <v>7</v>
      </c>
      <c r="L232" s="1">
        <v>45313</v>
      </c>
      <c r="M232" s="1">
        <v>45256</v>
      </c>
      <c r="N232" t="s">
        <v>50</v>
      </c>
    </row>
    <row r="233" spans="1:14" x14ac:dyDescent="0.25">
      <c r="A233">
        <v>1232</v>
      </c>
      <c r="B233">
        <v>21</v>
      </c>
      <c r="C233" t="s">
        <v>31</v>
      </c>
      <c r="D233" t="s">
        <v>23</v>
      </c>
      <c r="E233" t="s">
        <v>25</v>
      </c>
      <c r="F233" t="s">
        <v>18</v>
      </c>
      <c r="G233">
        <v>108143</v>
      </c>
      <c r="H233">
        <v>1</v>
      </c>
      <c r="I233">
        <v>28</v>
      </c>
      <c r="K233">
        <v>2</v>
      </c>
      <c r="L233" s="1">
        <v>44893</v>
      </c>
      <c r="M233" s="1">
        <v>43831</v>
      </c>
      <c r="N233" t="s">
        <v>50</v>
      </c>
    </row>
    <row r="234" spans="1:14" x14ac:dyDescent="0.25">
      <c r="A234">
        <v>1233</v>
      </c>
      <c r="B234">
        <v>25</v>
      </c>
      <c r="C234" t="s">
        <v>32</v>
      </c>
      <c r="D234" t="s">
        <v>16</v>
      </c>
      <c r="E234" t="s">
        <v>25</v>
      </c>
      <c r="F234" t="s">
        <v>15</v>
      </c>
      <c r="G234">
        <v>49604</v>
      </c>
      <c r="H234">
        <v>25</v>
      </c>
      <c r="I234">
        <v>38</v>
      </c>
      <c r="J234">
        <v>3</v>
      </c>
      <c r="K234">
        <v>10</v>
      </c>
      <c r="L234" s="1">
        <v>43046</v>
      </c>
      <c r="M234" s="1">
        <v>45069</v>
      </c>
      <c r="N234" t="s">
        <v>50</v>
      </c>
    </row>
    <row r="235" spans="1:14" x14ac:dyDescent="0.25">
      <c r="A235">
        <v>1234</v>
      </c>
      <c r="B235">
        <v>46</v>
      </c>
      <c r="C235" t="s">
        <v>31</v>
      </c>
      <c r="D235" t="s">
        <v>22</v>
      </c>
      <c r="E235" t="s">
        <v>25</v>
      </c>
      <c r="F235" t="s">
        <v>26</v>
      </c>
      <c r="G235">
        <v>100682</v>
      </c>
      <c r="H235">
        <v>6</v>
      </c>
      <c r="I235">
        <v>26</v>
      </c>
      <c r="J235">
        <v>4</v>
      </c>
      <c r="K235">
        <v>4</v>
      </c>
      <c r="L235" s="1">
        <v>45549</v>
      </c>
      <c r="M235" s="1"/>
      <c r="N235" t="s">
        <v>49</v>
      </c>
    </row>
    <row r="236" spans="1:14" x14ac:dyDescent="0.25">
      <c r="A236">
        <v>1235</v>
      </c>
      <c r="B236">
        <v>51</v>
      </c>
      <c r="C236" t="s">
        <v>31</v>
      </c>
      <c r="D236" t="s">
        <v>23</v>
      </c>
      <c r="E236" t="s">
        <v>12</v>
      </c>
      <c r="F236" t="s">
        <v>21</v>
      </c>
      <c r="G236">
        <v>51665</v>
      </c>
      <c r="H236">
        <v>23</v>
      </c>
      <c r="I236">
        <v>50</v>
      </c>
      <c r="J236">
        <v>4</v>
      </c>
      <c r="K236">
        <v>2</v>
      </c>
      <c r="L236" s="1">
        <v>45129</v>
      </c>
      <c r="M236" s="1"/>
      <c r="N236" t="s">
        <v>49</v>
      </c>
    </row>
    <row r="237" spans="1:14" x14ac:dyDescent="0.25">
      <c r="A237">
        <v>1236</v>
      </c>
      <c r="B237">
        <v>39</v>
      </c>
      <c r="C237" t="s">
        <v>32</v>
      </c>
      <c r="D237" t="s">
        <v>13</v>
      </c>
      <c r="E237" t="s">
        <v>25</v>
      </c>
      <c r="F237" t="s">
        <v>29</v>
      </c>
      <c r="G237">
        <v>93831</v>
      </c>
      <c r="H237">
        <v>3</v>
      </c>
      <c r="I237">
        <v>38</v>
      </c>
      <c r="J237">
        <v>3</v>
      </c>
      <c r="K237">
        <v>4</v>
      </c>
      <c r="L237" s="1">
        <v>43755</v>
      </c>
      <c r="M237" s="1"/>
      <c r="N237" t="s">
        <v>49</v>
      </c>
    </row>
    <row r="238" spans="1:14" x14ac:dyDescent="0.25">
      <c r="A238">
        <v>1237</v>
      </c>
      <c r="B238">
        <v>44</v>
      </c>
      <c r="C238" t="s">
        <v>32</v>
      </c>
      <c r="D238" t="s">
        <v>22</v>
      </c>
      <c r="E238" t="s">
        <v>28</v>
      </c>
      <c r="F238" t="s">
        <v>45</v>
      </c>
      <c r="G238">
        <v>53149</v>
      </c>
      <c r="H238">
        <v>29</v>
      </c>
      <c r="I238">
        <v>32</v>
      </c>
      <c r="J238">
        <v>2</v>
      </c>
      <c r="K238">
        <v>10</v>
      </c>
      <c r="L238" s="1">
        <v>45313</v>
      </c>
      <c r="M238" s="1">
        <v>42543</v>
      </c>
      <c r="N238" t="s">
        <v>50</v>
      </c>
    </row>
    <row r="239" spans="1:14" x14ac:dyDescent="0.25">
      <c r="A239">
        <v>1238</v>
      </c>
      <c r="B239">
        <v>38</v>
      </c>
      <c r="C239" t="s">
        <v>31</v>
      </c>
      <c r="D239" t="s">
        <v>19</v>
      </c>
      <c r="E239" t="s">
        <v>12</v>
      </c>
      <c r="F239" t="s">
        <v>17</v>
      </c>
      <c r="G239">
        <v>103662</v>
      </c>
      <c r="H239">
        <v>29</v>
      </c>
      <c r="I239">
        <v>53</v>
      </c>
      <c r="J239">
        <v>3</v>
      </c>
      <c r="K239">
        <v>9</v>
      </c>
      <c r="L239" s="1">
        <v>42711</v>
      </c>
      <c r="M239" s="1">
        <v>43758</v>
      </c>
      <c r="N239" t="s">
        <v>50</v>
      </c>
    </row>
    <row r="240" spans="1:14" x14ac:dyDescent="0.25">
      <c r="A240">
        <v>1239</v>
      </c>
      <c r="B240">
        <v>56</v>
      </c>
      <c r="C240" t="s">
        <v>32</v>
      </c>
      <c r="D240" t="s">
        <v>27</v>
      </c>
      <c r="E240" t="s">
        <v>14</v>
      </c>
      <c r="F240" t="s">
        <v>18</v>
      </c>
      <c r="G240">
        <v>87029</v>
      </c>
      <c r="H240">
        <v>22</v>
      </c>
      <c r="I240">
        <v>46</v>
      </c>
      <c r="J240">
        <v>3</v>
      </c>
      <c r="K240">
        <v>8</v>
      </c>
      <c r="L240" s="1">
        <v>44837</v>
      </c>
      <c r="M240" s="1"/>
      <c r="N240" t="s">
        <v>49</v>
      </c>
    </row>
    <row r="241" spans="1:14" x14ac:dyDescent="0.25">
      <c r="A241">
        <v>1240</v>
      </c>
      <c r="B241">
        <v>50</v>
      </c>
      <c r="C241" t="s">
        <v>31</v>
      </c>
      <c r="D241" t="s">
        <v>23</v>
      </c>
      <c r="E241" t="s">
        <v>20</v>
      </c>
      <c r="F241" t="s">
        <v>17</v>
      </c>
      <c r="G241">
        <v>82812</v>
      </c>
      <c r="H241">
        <v>7</v>
      </c>
      <c r="I241">
        <v>59</v>
      </c>
      <c r="J241">
        <v>3</v>
      </c>
      <c r="K241">
        <v>8</v>
      </c>
      <c r="L241" s="1">
        <v>43600</v>
      </c>
      <c r="M241" s="1"/>
      <c r="N241" t="s">
        <v>49</v>
      </c>
    </row>
    <row r="242" spans="1:14" x14ac:dyDescent="0.25">
      <c r="A242">
        <v>1241</v>
      </c>
      <c r="B242">
        <v>27</v>
      </c>
      <c r="C242" t="s">
        <v>32</v>
      </c>
      <c r="D242" t="s">
        <v>22</v>
      </c>
      <c r="E242" t="s">
        <v>20</v>
      </c>
      <c r="F242" t="s">
        <v>15</v>
      </c>
      <c r="G242">
        <v>65052</v>
      </c>
      <c r="H242">
        <v>10</v>
      </c>
      <c r="I242">
        <v>48</v>
      </c>
      <c r="J242">
        <v>1</v>
      </c>
      <c r="K242">
        <v>7</v>
      </c>
      <c r="L242" s="1">
        <v>42693</v>
      </c>
      <c r="M242" s="1">
        <v>43363</v>
      </c>
      <c r="N242" t="s">
        <v>50</v>
      </c>
    </row>
    <row r="243" spans="1:14" x14ac:dyDescent="0.25">
      <c r="A243">
        <v>1242</v>
      </c>
      <c r="B243">
        <v>40</v>
      </c>
      <c r="C243" t="s">
        <v>32</v>
      </c>
      <c r="D243" t="s">
        <v>13</v>
      </c>
      <c r="E243" t="s">
        <v>25</v>
      </c>
      <c r="F243" t="s">
        <v>29</v>
      </c>
      <c r="G243">
        <v>70194</v>
      </c>
      <c r="H243">
        <v>2</v>
      </c>
      <c r="I243">
        <v>58</v>
      </c>
      <c r="J243">
        <v>4</v>
      </c>
      <c r="K243">
        <v>2</v>
      </c>
      <c r="L243" s="1">
        <v>44489</v>
      </c>
      <c r="M243" s="1"/>
      <c r="N243" t="s">
        <v>49</v>
      </c>
    </row>
    <row r="244" spans="1:14" x14ac:dyDescent="0.25">
      <c r="A244">
        <v>1243</v>
      </c>
      <c r="B244">
        <v>55</v>
      </c>
      <c r="C244" t="s">
        <v>31</v>
      </c>
      <c r="D244" t="s">
        <v>22</v>
      </c>
      <c r="E244" t="s">
        <v>28</v>
      </c>
      <c r="F244" t="s">
        <v>18</v>
      </c>
      <c r="G244">
        <v>55082</v>
      </c>
      <c r="H244">
        <v>23</v>
      </c>
      <c r="I244">
        <v>51</v>
      </c>
      <c r="K244">
        <v>4</v>
      </c>
      <c r="L244" s="1">
        <v>44359</v>
      </c>
      <c r="M244" s="1">
        <v>43627</v>
      </c>
      <c r="N244" t="s">
        <v>50</v>
      </c>
    </row>
    <row r="245" spans="1:14" x14ac:dyDescent="0.25">
      <c r="A245">
        <v>1244</v>
      </c>
      <c r="B245">
        <v>24</v>
      </c>
      <c r="C245" t="s">
        <v>32</v>
      </c>
      <c r="D245" t="s">
        <v>16</v>
      </c>
      <c r="E245" t="s">
        <v>20</v>
      </c>
      <c r="F245" t="s">
        <v>18</v>
      </c>
      <c r="G245">
        <v>86528</v>
      </c>
      <c r="H245">
        <v>2</v>
      </c>
      <c r="I245">
        <v>2</v>
      </c>
      <c r="J245">
        <v>2</v>
      </c>
      <c r="K245">
        <v>9</v>
      </c>
      <c r="L245" s="1">
        <v>43543</v>
      </c>
      <c r="M245" s="1">
        <v>42714</v>
      </c>
      <c r="N245" t="s">
        <v>50</v>
      </c>
    </row>
    <row r="246" spans="1:14" x14ac:dyDescent="0.25">
      <c r="A246">
        <v>1245</v>
      </c>
      <c r="B246">
        <v>28</v>
      </c>
      <c r="C246" t="s">
        <v>31</v>
      </c>
      <c r="D246" t="s">
        <v>22</v>
      </c>
      <c r="E246" t="s">
        <v>28</v>
      </c>
      <c r="F246" t="s">
        <v>21</v>
      </c>
      <c r="G246">
        <v>69768</v>
      </c>
      <c r="H246">
        <v>10</v>
      </c>
      <c r="I246">
        <v>56</v>
      </c>
      <c r="J246">
        <v>4</v>
      </c>
      <c r="K246">
        <v>3</v>
      </c>
      <c r="L246" s="1">
        <v>45270</v>
      </c>
      <c r="M246" s="1"/>
      <c r="N246" t="s">
        <v>49</v>
      </c>
    </row>
    <row r="247" spans="1:14" x14ac:dyDescent="0.25">
      <c r="A247">
        <v>1246</v>
      </c>
      <c r="B247">
        <v>28</v>
      </c>
      <c r="C247" t="s">
        <v>31</v>
      </c>
      <c r="D247" t="s">
        <v>22</v>
      </c>
      <c r="E247" t="s">
        <v>28</v>
      </c>
      <c r="F247" t="s">
        <v>15</v>
      </c>
      <c r="G247">
        <v>74116</v>
      </c>
      <c r="H247">
        <v>24</v>
      </c>
      <c r="I247">
        <v>4</v>
      </c>
      <c r="J247">
        <v>4</v>
      </c>
      <c r="K247">
        <v>7</v>
      </c>
      <c r="L247" s="1">
        <v>42061</v>
      </c>
      <c r="M247" s="1"/>
      <c r="N247" t="s">
        <v>49</v>
      </c>
    </row>
    <row r="248" spans="1:14" x14ac:dyDescent="0.25">
      <c r="A248">
        <v>1247</v>
      </c>
      <c r="B248">
        <v>36</v>
      </c>
      <c r="C248" t="s">
        <v>31</v>
      </c>
      <c r="D248" t="s">
        <v>22</v>
      </c>
      <c r="E248" t="s">
        <v>28</v>
      </c>
      <c r="F248" t="s">
        <v>21</v>
      </c>
      <c r="G248">
        <v>70725</v>
      </c>
      <c r="H248">
        <v>14</v>
      </c>
      <c r="I248">
        <v>55</v>
      </c>
      <c r="J248">
        <v>4</v>
      </c>
      <c r="K248">
        <v>8</v>
      </c>
      <c r="L248" s="1">
        <v>43195</v>
      </c>
      <c r="M248" s="1"/>
      <c r="N248" t="s">
        <v>49</v>
      </c>
    </row>
    <row r="249" spans="1:14" x14ac:dyDescent="0.25">
      <c r="A249">
        <v>1248</v>
      </c>
      <c r="B249">
        <v>36</v>
      </c>
      <c r="C249" t="s">
        <v>32</v>
      </c>
      <c r="D249" t="s">
        <v>22</v>
      </c>
      <c r="E249" t="s">
        <v>14</v>
      </c>
      <c r="F249" t="s">
        <v>18</v>
      </c>
      <c r="G249">
        <v>93067</v>
      </c>
      <c r="H249">
        <v>20</v>
      </c>
      <c r="I249">
        <v>40</v>
      </c>
      <c r="J249">
        <v>3</v>
      </c>
      <c r="K249">
        <v>2</v>
      </c>
      <c r="L249" s="1">
        <v>42207</v>
      </c>
      <c r="M249" s="1">
        <v>43407</v>
      </c>
      <c r="N249" t="s">
        <v>50</v>
      </c>
    </row>
    <row r="250" spans="1:14" x14ac:dyDescent="0.25">
      <c r="A250">
        <v>1249</v>
      </c>
      <c r="B250">
        <v>44</v>
      </c>
      <c r="C250" t="s">
        <v>32</v>
      </c>
      <c r="D250" t="s">
        <v>22</v>
      </c>
      <c r="E250" t="s">
        <v>14</v>
      </c>
      <c r="F250" t="s">
        <v>17</v>
      </c>
      <c r="G250">
        <v>75242</v>
      </c>
      <c r="H250">
        <v>10</v>
      </c>
      <c r="I250">
        <v>54</v>
      </c>
      <c r="J250">
        <v>5</v>
      </c>
      <c r="K250">
        <v>7</v>
      </c>
      <c r="L250" s="1">
        <v>44921</v>
      </c>
      <c r="M250" s="1">
        <v>42957</v>
      </c>
      <c r="N250" t="s">
        <v>50</v>
      </c>
    </row>
    <row r="251" spans="1:14" x14ac:dyDescent="0.25">
      <c r="A251">
        <v>1250</v>
      </c>
      <c r="B251">
        <v>52</v>
      </c>
      <c r="C251" t="s">
        <v>31</v>
      </c>
      <c r="D251" t="s">
        <v>22</v>
      </c>
      <c r="E251" t="s">
        <v>25</v>
      </c>
      <c r="F251" t="s">
        <v>26</v>
      </c>
      <c r="G251">
        <v>92041</v>
      </c>
      <c r="H251">
        <v>18</v>
      </c>
      <c r="I251">
        <v>52</v>
      </c>
      <c r="J251">
        <v>4</v>
      </c>
      <c r="K251">
        <v>4</v>
      </c>
      <c r="L251" s="1">
        <v>43178</v>
      </c>
      <c r="M251" s="1"/>
      <c r="N251" t="s">
        <v>49</v>
      </c>
    </row>
    <row r="252" spans="1:14" x14ac:dyDescent="0.25">
      <c r="A252">
        <v>1251</v>
      </c>
      <c r="B252">
        <v>39</v>
      </c>
      <c r="C252" t="s">
        <v>32</v>
      </c>
      <c r="D252" t="s">
        <v>23</v>
      </c>
      <c r="E252" t="s">
        <v>14</v>
      </c>
      <c r="F252" t="s">
        <v>18</v>
      </c>
      <c r="G252">
        <v>108901</v>
      </c>
      <c r="H252">
        <v>11</v>
      </c>
      <c r="I252">
        <v>23</v>
      </c>
      <c r="K252">
        <v>1</v>
      </c>
      <c r="L252" s="1">
        <v>44066</v>
      </c>
      <c r="M252" s="1"/>
      <c r="N252" t="s">
        <v>49</v>
      </c>
    </row>
    <row r="253" spans="1:14" x14ac:dyDescent="0.25">
      <c r="A253">
        <v>1252</v>
      </c>
      <c r="B253">
        <v>34</v>
      </c>
      <c r="C253" t="s">
        <v>31</v>
      </c>
      <c r="D253" t="s">
        <v>13</v>
      </c>
      <c r="E253" t="s">
        <v>14</v>
      </c>
      <c r="F253" t="s">
        <v>15</v>
      </c>
      <c r="G253">
        <v>104192</v>
      </c>
      <c r="H253">
        <v>13</v>
      </c>
      <c r="I253">
        <v>36</v>
      </c>
      <c r="J253">
        <v>5</v>
      </c>
      <c r="K253">
        <v>7</v>
      </c>
      <c r="L253" s="1">
        <v>45091</v>
      </c>
      <c r="M253" s="1">
        <v>42524</v>
      </c>
      <c r="N253" t="s">
        <v>50</v>
      </c>
    </row>
    <row r="254" spans="1:14" x14ac:dyDescent="0.25">
      <c r="A254">
        <v>1253</v>
      </c>
      <c r="B254">
        <v>51</v>
      </c>
      <c r="C254" t="s">
        <v>32</v>
      </c>
      <c r="D254" t="s">
        <v>13</v>
      </c>
      <c r="E254" t="s">
        <v>20</v>
      </c>
      <c r="F254" t="s">
        <v>29</v>
      </c>
      <c r="G254">
        <v>49886</v>
      </c>
      <c r="H254">
        <v>30</v>
      </c>
      <c r="I254">
        <v>8</v>
      </c>
      <c r="K254">
        <v>8</v>
      </c>
      <c r="L254" s="1">
        <v>44874</v>
      </c>
      <c r="M254" s="1"/>
      <c r="N254" t="s">
        <v>49</v>
      </c>
    </row>
    <row r="255" spans="1:14" x14ac:dyDescent="0.25">
      <c r="A255">
        <v>1254</v>
      </c>
      <c r="B255">
        <v>21</v>
      </c>
      <c r="C255" t="s">
        <v>32</v>
      </c>
      <c r="D255" t="s">
        <v>27</v>
      </c>
      <c r="E255" t="s">
        <v>12</v>
      </c>
      <c r="F255" t="s">
        <v>21</v>
      </c>
      <c r="G255">
        <v>74694</v>
      </c>
      <c r="H255">
        <v>23</v>
      </c>
      <c r="I255">
        <v>46</v>
      </c>
      <c r="K255">
        <v>7</v>
      </c>
      <c r="L255" s="1">
        <v>42258</v>
      </c>
      <c r="M255" s="1">
        <v>45242</v>
      </c>
      <c r="N255" t="s">
        <v>50</v>
      </c>
    </row>
    <row r="256" spans="1:14" x14ac:dyDescent="0.25">
      <c r="A256">
        <v>1255</v>
      </c>
      <c r="B256">
        <v>32</v>
      </c>
      <c r="C256" t="s">
        <v>32</v>
      </c>
      <c r="D256" t="s">
        <v>16</v>
      </c>
      <c r="E256" t="s">
        <v>12</v>
      </c>
      <c r="F256" t="s">
        <v>21</v>
      </c>
      <c r="G256">
        <v>47194</v>
      </c>
      <c r="H256">
        <v>10</v>
      </c>
      <c r="I256">
        <v>44</v>
      </c>
      <c r="J256">
        <v>4</v>
      </c>
      <c r="K256">
        <v>4</v>
      </c>
      <c r="L256" s="1">
        <v>43160</v>
      </c>
      <c r="M256" s="1"/>
      <c r="N256" t="s">
        <v>49</v>
      </c>
    </row>
    <row r="257" spans="1:14" x14ac:dyDescent="0.25">
      <c r="A257">
        <v>1256</v>
      </c>
      <c r="B257">
        <v>56</v>
      </c>
      <c r="C257" t="s">
        <v>32</v>
      </c>
      <c r="D257" t="s">
        <v>23</v>
      </c>
      <c r="E257" t="s">
        <v>12</v>
      </c>
      <c r="F257" t="s">
        <v>15</v>
      </c>
      <c r="G257">
        <v>87554</v>
      </c>
      <c r="H257">
        <v>23</v>
      </c>
      <c r="I257">
        <v>8</v>
      </c>
      <c r="J257">
        <v>3</v>
      </c>
      <c r="K257">
        <v>8</v>
      </c>
      <c r="L257" s="1">
        <v>45651</v>
      </c>
      <c r="M257" s="1">
        <v>45135</v>
      </c>
      <c r="N257" t="s">
        <v>50</v>
      </c>
    </row>
    <row r="258" spans="1:14" x14ac:dyDescent="0.25">
      <c r="A258">
        <v>1257</v>
      </c>
      <c r="B258">
        <v>46</v>
      </c>
      <c r="C258" t="s">
        <v>32</v>
      </c>
      <c r="D258" t="s">
        <v>13</v>
      </c>
      <c r="E258" t="s">
        <v>25</v>
      </c>
      <c r="F258" t="s">
        <v>17</v>
      </c>
      <c r="G258">
        <v>80630</v>
      </c>
      <c r="H258">
        <v>20</v>
      </c>
      <c r="I258">
        <v>27</v>
      </c>
      <c r="J258">
        <v>1</v>
      </c>
      <c r="K258">
        <v>2</v>
      </c>
      <c r="L258" s="1">
        <v>43990</v>
      </c>
      <c r="M258" s="1">
        <v>43211</v>
      </c>
      <c r="N258" t="s">
        <v>50</v>
      </c>
    </row>
    <row r="259" spans="1:14" x14ac:dyDescent="0.25">
      <c r="A259">
        <v>1258</v>
      </c>
      <c r="B259">
        <v>41</v>
      </c>
      <c r="C259" t="s">
        <v>32</v>
      </c>
      <c r="D259" t="s">
        <v>27</v>
      </c>
      <c r="E259" t="s">
        <v>14</v>
      </c>
      <c r="F259" t="s">
        <v>15</v>
      </c>
      <c r="G259">
        <v>73479</v>
      </c>
      <c r="H259">
        <v>18</v>
      </c>
      <c r="I259">
        <v>40</v>
      </c>
      <c r="J259">
        <v>3</v>
      </c>
      <c r="K259">
        <v>3</v>
      </c>
      <c r="L259" s="1">
        <v>44745</v>
      </c>
      <c r="M259" s="1"/>
      <c r="N259" t="s">
        <v>49</v>
      </c>
    </row>
    <row r="260" spans="1:14" x14ac:dyDescent="0.25">
      <c r="A260">
        <v>1259</v>
      </c>
      <c r="B260">
        <v>27</v>
      </c>
      <c r="C260" t="s">
        <v>31</v>
      </c>
      <c r="D260" t="s">
        <v>22</v>
      </c>
      <c r="E260" t="s">
        <v>12</v>
      </c>
      <c r="F260" t="s">
        <v>15</v>
      </c>
      <c r="G260">
        <v>61712</v>
      </c>
      <c r="H260">
        <v>26</v>
      </c>
      <c r="I260">
        <v>11</v>
      </c>
      <c r="J260">
        <v>1</v>
      </c>
      <c r="K260">
        <v>10</v>
      </c>
      <c r="L260" s="1">
        <v>42787</v>
      </c>
      <c r="M260" s="1"/>
      <c r="N260" t="s">
        <v>49</v>
      </c>
    </row>
    <row r="261" spans="1:14" x14ac:dyDescent="0.25">
      <c r="A261">
        <v>1260</v>
      </c>
      <c r="B261">
        <v>59</v>
      </c>
      <c r="C261" t="s">
        <v>32</v>
      </c>
      <c r="D261" t="s">
        <v>23</v>
      </c>
      <c r="E261" t="s">
        <v>28</v>
      </c>
      <c r="F261" t="s">
        <v>21</v>
      </c>
      <c r="G261">
        <v>51580</v>
      </c>
      <c r="H261">
        <v>17</v>
      </c>
      <c r="I261">
        <v>31</v>
      </c>
      <c r="J261">
        <v>3</v>
      </c>
      <c r="K261">
        <v>10</v>
      </c>
      <c r="L261" s="1">
        <v>44542</v>
      </c>
      <c r="M261" s="1">
        <v>44994</v>
      </c>
      <c r="N261" t="s">
        <v>50</v>
      </c>
    </row>
    <row r="262" spans="1:14" x14ac:dyDescent="0.25">
      <c r="A262">
        <v>1261</v>
      </c>
      <c r="B262">
        <v>34</v>
      </c>
      <c r="C262" t="s">
        <v>31</v>
      </c>
      <c r="D262" t="s">
        <v>22</v>
      </c>
      <c r="E262" t="s">
        <v>25</v>
      </c>
      <c r="F262" t="s">
        <v>29</v>
      </c>
      <c r="G262">
        <v>62588</v>
      </c>
      <c r="H262">
        <v>19</v>
      </c>
      <c r="I262">
        <v>2</v>
      </c>
      <c r="J262">
        <v>5</v>
      </c>
      <c r="K262">
        <v>7</v>
      </c>
      <c r="L262" s="1">
        <v>43174</v>
      </c>
      <c r="M262" s="1"/>
      <c r="N262" t="s">
        <v>49</v>
      </c>
    </row>
    <row r="263" spans="1:14" x14ac:dyDescent="0.25">
      <c r="A263">
        <v>1262</v>
      </c>
      <c r="B263">
        <v>21</v>
      </c>
      <c r="C263" t="s">
        <v>32</v>
      </c>
      <c r="D263" t="s">
        <v>23</v>
      </c>
      <c r="E263" t="s">
        <v>20</v>
      </c>
      <c r="F263" t="s">
        <v>17</v>
      </c>
      <c r="G263">
        <v>45703</v>
      </c>
      <c r="H263">
        <v>26</v>
      </c>
      <c r="I263">
        <v>4</v>
      </c>
      <c r="J263">
        <v>1</v>
      </c>
      <c r="K263">
        <v>7</v>
      </c>
      <c r="L263" s="1">
        <v>44501</v>
      </c>
      <c r="M263" s="1"/>
      <c r="N263" t="s">
        <v>49</v>
      </c>
    </row>
    <row r="264" spans="1:14" x14ac:dyDescent="0.25">
      <c r="A264">
        <v>1263</v>
      </c>
      <c r="B264">
        <v>54</v>
      </c>
      <c r="C264" t="s">
        <v>32</v>
      </c>
      <c r="D264" t="s">
        <v>22</v>
      </c>
      <c r="E264" t="s">
        <v>12</v>
      </c>
      <c r="F264" t="s">
        <v>29</v>
      </c>
      <c r="G264">
        <v>56534</v>
      </c>
      <c r="H264">
        <v>23</v>
      </c>
      <c r="I264">
        <v>53</v>
      </c>
      <c r="J264">
        <v>2</v>
      </c>
      <c r="K264">
        <v>6</v>
      </c>
      <c r="L264" s="1">
        <v>43089</v>
      </c>
      <c r="M264" s="1"/>
      <c r="N264" t="s">
        <v>49</v>
      </c>
    </row>
    <row r="265" spans="1:14" x14ac:dyDescent="0.25">
      <c r="A265">
        <v>1264</v>
      </c>
      <c r="B265">
        <v>57</v>
      </c>
      <c r="C265" t="s">
        <v>32</v>
      </c>
      <c r="D265" t="s">
        <v>27</v>
      </c>
      <c r="E265" t="s">
        <v>12</v>
      </c>
      <c r="F265" t="s">
        <v>15</v>
      </c>
      <c r="G265">
        <v>50828</v>
      </c>
      <c r="H265">
        <v>20</v>
      </c>
      <c r="I265">
        <v>48</v>
      </c>
      <c r="J265">
        <v>2</v>
      </c>
      <c r="K265">
        <v>1</v>
      </c>
      <c r="L265" s="1">
        <v>44364</v>
      </c>
      <c r="M265" s="1">
        <v>43416</v>
      </c>
      <c r="N265" t="s">
        <v>50</v>
      </c>
    </row>
    <row r="266" spans="1:14" x14ac:dyDescent="0.25">
      <c r="A266">
        <v>1265</v>
      </c>
      <c r="B266">
        <v>53</v>
      </c>
      <c r="C266" t="s">
        <v>31</v>
      </c>
      <c r="D266" t="s">
        <v>13</v>
      </c>
      <c r="E266" t="s">
        <v>12</v>
      </c>
      <c r="F266" t="s">
        <v>29</v>
      </c>
      <c r="G266">
        <v>104453</v>
      </c>
      <c r="H266">
        <v>5</v>
      </c>
      <c r="I266">
        <v>42</v>
      </c>
      <c r="J266">
        <v>5</v>
      </c>
      <c r="K266">
        <v>2</v>
      </c>
      <c r="L266" s="1">
        <v>43054</v>
      </c>
      <c r="M266" s="1"/>
      <c r="N266" t="s">
        <v>49</v>
      </c>
    </row>
    <row r="267" spans="1:14" x14ac:dyDescent="0.25">
      <c r="A267">
        <v>1266</v>
      </c>
      <c r="B267">
        <v>46</v>
      </c>
      <c r="C267" t="s">
        <v>32</v>
      </c>
      <c r="D267" t="s">
        <v>13</v>
      </c>
      <c r="E267" t="s">
        <v>14</v>
      </c>
      <c r="F267" t="s">
        <v>45</v>
      </c>
      <c r="G267">
        <v>78059</v>
      </c>
      <c r="H267">
        <v>26</v>
      </c>
      <c r="I267">
        <v>5</v>
      </c>
      <c r="J267">
        <v>1</v>
      </c>
      <c r="K267">
        <v>10</v>
      </c>
      <c r="L267" s="1">
        <v>45156</v>
      </c>
      <c r="M267" s="1"/>
      <c r="N267" t="s">
        <v>49</v>
      </c>
    </row>
    <row r="268" spans="1:14" x14ac:dyDescent="0.25">
      <c r="A268">
        <v>1267</v>
      </c>
      <c r="B268">
        <v>25</v>
      </c>
      <c r="C268" t="s">
        <v>32</v>
      </c>
      <c r="D268" t="s">
        <v>22</v>
      </c>
      <c r="E268" t="s">
        <v>28</v>
      </c>
      <c r="F268" t="s">
        <v>26</v>
      </c>
      <c r="G268">
        <v>102854</v>
      </c>
      <c r="H268">
        <v>17</v>
      </c>
      <c r="I268">
        <v>34</v>
      </c>
      <c r="J268">
        <v>3</v>
      </c>
      <c r="K268">
        <v>2</v>
      </c>
      <c r="L268" s="1">
        <v>45360</v>
      </c>
      <c r="M268" s="1"/>
      <c r="N268" t="s">
        <v>49</v>
      </c>
    </row>
    <row r="269" spans="1:14" x14ac:dyDescent="0.25">
      <c r="A269">
        <v>1268</v>
      </c>
      <c r="B269">
        <v>49</v>
      </c>
      <c r="C269" t="s">
        <v>31</v>
      </c>
      <c r="D269" t="s">
        <v>27</v>
      </c>
      <c r="E269" t="s">
        <v>20</v>
      </c>
      <c r="F269" t="s">
        <v>15</v>
      </c>
      <c r="G269">
        <v>95089</v>
      </c>
      <c r="H269">
        <v>19</v>
      </c>
      <c r="I269">
        <v>26</v>
      </c>
      <c r="J269">
        <v>5</v>
      </c>
      <c r="K269">
        <v>8</v>
      </c>
      <c r="L269" s="1">
        <v>43266</v>
      </c>
      <c r="M269" s="1"/>
      <c r="N269" t="s">
        <v>49</v>
      </c>
    </row>
    <row r="270" spans="1:14" x14ac:dyDescent="0.25">
      <c r="A270">
        <v>1269</v>
      </c>
      <c r="B270">
        <v>43</v>
      </c>
      <c r="C270" t="s">
        <v>32</v>
      </c>
      <c r="D270" t="s">
        <v>16</v>
      </c>
      <c r="E270" t="s">
        <v>28</v>
      </c>
      <c r="F270" t="s">
        <v>26</v>
      </c>
      <c r="G270">
        <v>59316</v>
      </c>
      <c r="H270">
        <v>24</v>
      </c>
      <c r="I270">
        <v>50</v>
      </c>
      <c r="J270">
        <v>2</v>
      </c>
      <c r="K270">
        <v>1</v>
      </c>
      <c r="L270" s="1">
        <v>42057</v>
      </c>
      <c r="M270" s="1"/>
      <c r="N270" t="s">
        <v>49</v>
      </c>
    </row>
    <row r="271" spans="1:14" x14ac:dyDescent="0.25">
      <c r="A271">
        <v>1270</v>
      </c>
      <c r="B271">
        <v>52</v>
      </c>
      <c r="C271" t="s">
        <v>31</v>
      </c>
      <c r="D271" t="s">
        <v>27</v>
      </c>
      <c r="E271" t="s">
        <v>12</v>
      </c>
      <c r="F271" t="s">
        <v>17</v>
      </c>
      <c r="G271">
        <v>106753</v>
      </c>
      <c r="H271">
        <v>21</v>
      </c>
      <c r="I271">
        <v>17</v>
      </c>
      <c r="J271">
        <v>2</v>
      </c>
      <c r="K271">
        <v>6</v>
      </c>
      <c r="L271" s="1">
        <v>42281</v>
      </c>
      <c r="M271" s="1"/>
      <c r="N271" t="s">
        <v>49</v>
      </c>
    </row>
    <row r="272" spans="1:14" x14ac:dyDescent="0.25">
      <c r="A272">
        <v>1271</v>
      </c>
      <c r="B272">
        <v>48</v>
      </c>
      <c r="C272" t="s">
        <v>32</v>
      </c>
      <c r="D272" t="s">
        <v>23</v>
      </c>
      <c r="E272" t="s">
        <v>12</v>
      </c>
      <c r="F272" t="s">
        <v>45</v>
      </c>
      <c r="G272">
        <v>60634</v>
      </c>
      <c r="H272">
        <v>4</v>
      </c>
      <c r="I272">
        <v>58</v>
      </c>
      <c r="J272">
        <v>1</v>
      </c>
      <c r="K272">
        <v>6</v>
      </c>
      <c r="L272" s="1">
        <v>42212</v>
      </c>
      <c r="M272" s="1">
        <v>42680</v>
      </c>
      <c r="N272" t="s">
        <v>50</v>
      </c>
    </row>
    <row r="273" spans="1:14" x14ac:dyDescent="0.25">
      <c r="A273">
        <v>1272</v>
      </c>
      <c r="B273">
        <v>22</v>
      </c>
      <c r="C273" t="s">
        <v>32</v>
      </c>
      <c r="D273" t="s">
        <v>16</v>
      </c>
      <c r="E273" t="s">
        <v>25</v>
      </c>
      <c r="F273" t="s">
        <v>29</v>
      </c>
      <c r="G273">
        <v>100358</v>
      </c>
      <c r="H273">
        <v>26</v>
      </c>
      <c r="I273">
        <v>18</v>
      </c>
      <c r="J273">
        <v>1</v>
      </c>
      <c r="K273">
        <v>9</v>
      </c>
      <c r="L273" s="1">
        <v>45418</v>
      </c>
      <c r="M273" s="1"/>
      <c r="N273" t="s">
        <v>49</v>
      </c>
    </row>
    <row r="274" spans="1:14" x14ac:dyDescent="0.25">
      <c r="A274">
        <v>1273</v>
      </c>
      <c r="B274">
        <v>53</v>
      </c>
      <c r="C274" t="s">
        <v>31</v>
      </c>
      <c r="D274" t="s">
        <v>27</v>
      </c>
      <c r="E274" t="s">
        <v>25</v>
      </c>
      <c r="F274" t="s">
        <v>21</v>
      </c>
      <c r="G274">
        <v>103323</v>
      </c>
      <c r="H274">
        <v>19</v>
      </c>
      <c r="I274">
        <v>48</v>
      </c>
      <c r="J274">
        <v>2</v>
      </c>
      <c r="K274">
        <v>3</v>
      </c>
      <c r="L274" s="1">
        <v>43788</v>
      </c>
      <c r="M274" s="1"/>
      <c r="N274" t="s">
        <v>49</v>
      </c>
    </row>
    <row r="275" spans="1:14" x14ac:dyDescent="0.25">
      <c r="A275">
        <v>1274</v>
      </c>
      <c r="B275">
        <v>26</v>
      </c>
      <c r="C275" t="s">
        <v>32</v>
      </c>
      <c r="D275" t="s">
        <v>19</v>
      </c>
      <c r="E275" t="s">
        <v>28</v>
      </c>
      <c r="F275" t="s">
        <v>15</v>
      </c>
      <c r="G275">
        <v>64597</v>
      </c>
      <c r="H275">
        <v>17</v>
      </c>
      <c r="I275">
        <v>60</v>
      </c>
      <c r="J275">
        <v>1</v>
      </c>
      <c r="K275">
        <v>8</v>
      </c>
      <c r="L275" s="1">
        <v>43867</v>
      </c>
      <c r="M275" s="1"/>
      <c r="N275" t="s">
        <v>49</v>
      </c>
    </row>
    <row r="276" spans="1:14" x14ac:dyDescent="0.25">
      <c r="A276">
        <v>1275</v>
      </c>
      <c r="B276">
        <v>39</v>
      </c>
      <c r="C276" t="s">
        <v>32</v>
      </c>
      <c r="D276" t="s">
        <v>13</v>
      </c>
      <c r="E276" t="s">
        <v>12</v>
      </c>
      <c r="F276" t="s">
        <v>26</v>
      </c>
      <c r="G276">
        <v>47550</v>
      </c>
      <c r="H276">
        <v>11</v>
      </c>
      <c r="I276">
        <v>60</v>
      </c>
      <c r="J276">
        <v>5</v>
      </c>
      <c r="K276">
        <v>7</v>
      </c>
      <c r="L276" s="1">
        <v>42234</v>
      </c>
      <c r="M276" s="1"/>
      <c r="N276" t="s">
        <v>49</v>
      </c>
    </row>
    <row r="277" spans="1:14" x14ac:dyDescent="0.25">
      <c r="A277">
        <v>1276</v>
      </c>
      <c r="B277">
        <v>46</v>
      </c>
      <c r="C277" t="s">
        <v>32</v>
      </c>
      <c r="D277" t="s">
        <v>13</v>
      </c>
      <c r="E277" t="s">
        <v>28</v>
      </c>
      <c r="F277" t="s">
        <v>17</v>
      </c>
      <c r="G277">
        <v>100272</v>
      </c>
      <c r="H277">
        <v>7</v>
      </c>
      <c r="I277">
        <v>6</v>
      </c>
      <c r="J277">
        <v>5</v>
      </c>
      <c r="K277">
        <v>4</v>
      </c>
      <c r="L277" s="1">
        <v>43026</v>
      </c>
      <c r="M277" s="1"/>
      <c r="N277" t="s">
        <v>49</v>
      </c>
    </row>
    <row r="278" spans="1:14" x14ac:dyDescent="0.25">
      <c r="A278">
        <v>1277</v>
      </c>
      <c r="B278">
        <v>44</v>
      </c>
      <c r="C278" t="s">
        <v>31</v>
      </c>
      <c r="D278" t="s">
        <v>22</v>
      </c>
      <c r="E278" t="s">
        <v>12</v>
      </c>
      <c r="F278" t="s">
        <v>45</v>
      </c>
      <c r="G278">
        <v>86743</v>
      </c>
      <c r="H278">
        <v>27</v>
      </c>
      <c r="I278">
        <v>44</v>
      </c>
      <c r="J278">
        <v>1</v>
      </c>
      <c r="K278">
        <v>3</v>
      </c>
      <c r="L278" s="1">
        <v>42635</v>
      </c>
      <c r="M278" s="1"/>
      <c r="N278" t="s">
        <v>49</v>
      </c>
    </row>
    <row r="279" spans="1:14" x14ac:dyDescent="0.25">
      <c r="A279">
        <v>1278</v>
      </c>
      <c r="B279">
        <v>27</v>
      </c>
      <c r="C279" t="s">
        <v>31</v>
      </c>
      <c r="D279" t="s">
        <v>16</v>
      </c>
      <c r="E279" t="s">
        <v>25</v>
      </c>
      <c r="F279" t="s">
        <v>45</v>
      </c>
      <c r="G279">
        <v>75940</v>
      </c>
      <c r="H279">
        <v>17</v>
      </c>
      <c r="I279">
        <v>8</v>
      </c>
      <c r="J279">
        <v>2</v>
      </c>
      <c r="K279">
        <v>9</v>
      </c>
      <c r="L279" s="1">
        <v>43350</v>
      </c>
      <c r="M279" s="1">
        <v>45405</v>
      </c>
      <c r="N279" t="s">
        <v>50</v>
      </c>
    </row>
    <row r="280" spans="1:14" x14ac:dyDescent="0.25">
      <c r="A280">
        <v>1279</v>
      </c>
      <c r="B280">
        <v>34</v>
      </c>
      <c r="C280" t="s">
        <v>31</v>
      </c>
      <c r="D280" t="s">
        <v>23</v>
      </c>
      <c r="E280" t="s">
        <v>25</v>
      </c>
      <c r="F280" t="s">
        <v>18</v>
      </c>
      <c r="G280">
        <v>59166</v>
      </c>
      <c r="H280">
        <v>28</v>
      </c>
      <c r="I280">
        <v>23</v>
      </c>
      <c r="J280">
        <v>1</v>
      </c>
      <c r="K280">
        <v>8</v>
      </c>
      <c r="L280" s="1">
        <v>45525</v>
      </c>
      <c r="M280" s="1">
        <v>42996</v>
      </c>
      <c r="N280" t="s">
        <v>50</v>
      </c>
    </row>
    <row r="281" spans="1:14" x14ac:dyDescent="0.25">
      <c r="A281">
        <v>1280</v>
      </c>
      <c r="B281">
        <v>41</v>
      </c>
      <c r="C281" t="s">
        <v>31</v>
      </c>
      <c r="D281" t="s">
        <v>27</v>
      </c>
      <c r="E281" t="s">
        <v>12</v>
      </c>
      <c r="F281" t="s">
        <v>18</v>
      </c>
      <c r="G281">
        <v>89449</v>
      </c>
      <c r="H281">
        <v>8</v>
      </c>
      <c r="I281">
        <v>21</v>
      </c>
      <c r="J281">
        <v>4</v>
      </c>
      <c r="K281">
        <v>6</v>
      </c>
      <c r="L281" s="1">
        <v>43257</v>
      </c>
      <c r="M281" s="1"/>
      <c r="N281" t="s">
        <v>49</v>
      </c>
    </row>
    <row r="282" spans="1:14" x14ac:dyDescent="0.25">
      <c r="A282">
        <v>1281</v>
      </c>
      <c r="B282">
        <v>35</v>
      </c>
      <c r="C282" t="s">
        <v>31</v>
      </c>
      <c r="D282" t="s">
        <v>23</v>
      </c>
      <c r="E282" t="s">
        <v>25</v>
      </c>
      <c r="F282" t="s">
        <v>45</v>
      </c>
      <c r="G282">
        <v>49495</v>
      </c>
      <c r="H282">
        <v>28</v>
      </c>
      <c r="I282">
        <v>32</v>
      </c>
      <c r="J282">
        <v>3</v>
      </c>
      <c r="K282">
        <v>1</v>
      </c>
      <c r="L282" s="1">
        <v>44369</v>
      </c>
      <c r="M282" s="1"/>
      <c r="N282" t="s">
        <v>49</v>
      </c>
    </row>
    <row r="283" spans="1:14" x14ac:dyDescent="0.25">
      <c r="A283">
        <v>1282</v>
      </c>
      <c r="B283">
        <v>40</v>
      </c>
      <c r="C283" t="s">
        <v>32</v>
      </c>
      <c r="D283" t="s">
        <v>13</v>
      </c>
      <c r="E283" t="s">
        <v>25</v>
      </c>
      <c r="F283" t="s">
        <v>15</v>
      </c>
      <c r="G283">
        <v>103287</v>
      </c>
      <c r="H283">
        <v>15</v>
      </c>
      <c r="I283">
        <v>0</v>
      </c>
      <c r="J283">
        <v>1</v>
      </c>
      <c r="K283">
        <v>3</v>
      </c>
      <c r="L283" s="1">
        <v>42205</v>
      </c>
      <c r="M283" s="1"/>
      <c r="N283" t="s">
        <v>49</v>
      </c>
    </row>
    <row r="284" spans="1:14" x14ac:dyDescent="0.25">
      <c r="A284">
        <v>1283</v>
      </c>
      <c r="B284">
        <v>60</v>
      </c>
      <c r="C284" t="s">
        <v>32</v>
      </c>
      <c r="D284" t="s">
        <v>27</v>
      </c>
      <c r="E284" t="s">
        <v>20</v>
      </c>
      <c r="F284" t="s">
        <v>15</v>
      </c>
      <c r="G284">
        <v>85818</v>
      </c>
      <c r="H284">
        <v>23</v>
      </c>
      <c r="I284">
        <v>26</v>
      </c>
      <c r="J284">
        <v>5</v>
      </c>
      <c r="K284">
        <v>9</v>
      </c>
      <c r="L284" s="1">
        <v>44331</v>
      </c>
      <c r="M284" s="1">
        <v>43203</v>
      </c>
      <c r="N284" t="s">
        <v>50</v>
      </c>
    </row>
    <row r="285" spans="1:14" x14ac:dyDescent="0.25">
      <c r="A285">
        <v>1284</v>
      </c>
      <c r="B285">
        <v>57</v>
      </c>
      <c r="C285" t="s">
        <v>32</v>
      </c>
      <c r="D285" t="s">
        <v>13</v>
      </c>
      <c r="E285" t="s">
        <v>20</v>
      </c>
      <c r="F285" t="s">
        <v>15</v>
      </c>
      <c r="G285">
        <v>90509</v>
      </c>
      <c r="H285">
        <v>16</v>
      </c>
      <c r="I285">
        <v>34</v>
      </c>
      <c r="J285">
        <v>2</v>
      </c>
      <c r="K285">
        <v>4</v>
      </c>
      <c r="L285" s="1">
        <v>43993</v>
      </c>
      <c r="M285" s="1"/>
      <c r="N285" t="s">
        <v>49</v>
      </c>
    </row>
    <row r="286" spans="1:14" x14ac:dyDescent="0.25">
      <c r="A286">
        <v>1285</v>
      </c>
      <c r="B286">
        <v>41</v>
      </c>
      <c r="C286" t="s">
        <v>32</v>
      </c>
      <c r="D286" t="s">
        <v>13</v>
      </c>
      <c r="E286" t="s">
        <v>25</v>
      </c>
      <c r="F286" t="s">
        <v>26</v>
      </c>
      <c r="G286">
        <v>75195</v>
      </c>
      <c r="H286">
        <v>25</v>
      </c>
      <c r="I286">
        <v>55</v>
      </c>
      <c r="J286">
        <v>1</v>
      </c>
      <c r="K286">
        <v>5</v>
      </c>
      <c r="L286" s="1">
        <v>44216</v>
      </c>
      <c r="M286" s="1"/>
      <c r="N286" t="s">
        <v>49</v>
      </c>
    </row>
    <row r="287" spans="1:14" x14ac:dyDescent="0.25">
      <c r="A287">
        <v>1286</v>
      </c>
      <c r="B287">
        <v>60</v>
      </c>
      <c r="C287" t="s">
        <v>31</v>
      </c>
      <c r="D287" t="s">
        <v>13</v>
      </c>
      <c r="E287" t="s">
        <v>14</v>
      </c>
      <c r="F287" t="s">
        <v>21</v>
      </c>
      <c r="G287">
        <v>46220</v>
      </c>
      <c r="H287">
        <v>27</v>
      </c>
      <c r="I287">
        <v>26</v>
      </c>
      <c r="J287">
        <v>4</v>
      </c>
      <c r="K287">
        <v>3</v>
      </c>
      <c r="L287" s="1">
        <v>45606</v>
      </c>
      <c r="M287" s="1"/>
      <c r="N287" t="s">
        <v>49</v>
      </c>
    </row>
    <row r="288" spans="1:14" x14ac:dyDescent="0.25">
      <c r="A288">
        <v>1287</v>
      </c>
      <c r="B288">
        <v>59</v>
      </c>
      <c r="C288" t="s">
        <v>32</v>
      </c>
      <c r="D288" t="s">
        <v>16</v>
      </c>
      <c r="E288" t="s">
        <v>20</v>
      </c>
      <c r="F288" t="s">
        <v>45</v>
      </c>
      <c r="G288">
        <v>93583</v>
      </c>
      <c r="H288">
        <v>11</v>
      </c>
      <c r="I288">
        <v>49</v>
      </c>
      <c r="J288">
        <v>1</v>
      </c>
      <c r="K288">
        <v>9</v>
      </c>
      <c r="L288" s="1">
        <v>45386</v>
      </c>
      <c r="M288" s="1"/>
      <c r="N288" t="s">
        <v>49</v>
      </c>
    </row>
    <row r="289" spans="1:14" x14ac:dyDescent="0.25">
      <c r="A289">
        <v>1288</v>
      </c>
      <c r="B289">
        <v>29</v>
      </c>
      <c r="C289" t="s">
        <v>32</v>
      </c>
      <c r="D289" t="s">
        <v>19</v>
      </c>
      <c r="E289" t="s">
        <v>20</v>
      </c>
      <c r="F289" t="s">
        <v>15</v>
      </c>
      <c r="G289">
        <v>93815</v>
      </c>
      <c r="H289">
        <v>11</v>
      </c>
      <c r="I289">
        <v>5</v>
      </c>
      <c r="J289">
        <v>3</v>
      </c>
      <c r="K289">
        <v>8</v>
      </c>
      <c r="L289" s="1">
        <v>44003</v>
      </c>
      <c r="M289" s="1"/>
      <c r="N289" t="s">
        <v>49</v>
      </c>
    </row>
    <row r="290" spans="1:14" x14ac:dyDescent="0.25">
      <c r="A290">
        <v>1289</v>
      </c>
      <c r="B290">
        <v>21</v>
      </c>
      <c r="C290" t="s">
        <v>32</v>
      </c>
      <c r="D290" t="s">
        <v>22</v>
      </c>
      <c r="E290" t="s">
        <v>28</v>
      </c>
      <c r="F290" t="s">
        <v>21</v>
      </c>
      <c r="G290">
        <v>54281</v>
      </c>
      <c r="H290">
        <v>18</v>
      </c>
      <c r="I290">
        <v>54</v>
      </c>
      <c r="J290">
        <v>5</v>
      </c>
      <c r="K290">
        <v>4</v>
      </c>
      <c r="L290" s="1">
        <v>43520</v>
      </c>
      <c r="M290" s="1"/>
      <c r="N290" t="s">
        <v>49</v>
      </c>
    </row>
    <row r="291" spans="1:14" x14ac:dyDescent="0.25">
      <c r="A291">
        <v>1290</v>
      </c>
      <c r="B291">
        <v>34</v>
      </c>
      <c r="C291" t="s">
        <v>32</v>
      </c>
      <c r="D291" t="s">
        <v>13</v>
      </c>
      <c r="E291" t="s">
        <v>20</v>
      </c>
      <c r="F291" t="s">
        <v>29</v>
      </c>
      <c r="G291">
        <v>84873</v>
      </c>
      <c r="H291">
        <v>11</v>
      </c>
      <c r="I291">
        <v>33</v>
      </c>
      <c r="J291">
        <v>3</v>
      </c>
      <c r="K291">
        <v>7</v>
      </c>
      <c r="L291" s="1">
        <v>44757</v>
      </c>
      <c r="M291" s="1">
        <v>45295</v>
      </c>
      <c r="N291" t="s">
        <v>50</v>
      </c>
    </row>
    <row r="292" spans="1:14" x14ac:dyDescent="0.25">
      <c r="A292">
        <v>1291</v>
      </c>
      <c r="B292">
        <v>26</v>
      </c>
      <c r="C292" t="s">
        <v>32</v>
      </c>
      <c r="D292" t="s">
        <v>16</v>
      </c>
      <c r="E292" t="s">
        <v>25</v>
      </c>
      <c r="F292" t="s">
        <v>15</v>
      </c>
      <c r="G292">
        <v>67831</v>
      </c>
      <c r="H292">
        <v>9</v>
      </c>
      <c r="I292">
        <v>6</v>
      </c>
      <c r="J292">
        <v>1</v>
      </c>
      <c r="K292">
        <v>4</v>
      </c>
      <c r="L292" s="1">
        <v>43405</v>
      </c>
      <c r="M292" s="1"/>
      <c r="N292" t="s">
        <v>49</v>
      </c>
    </row>
    <row r="293" spans="1:14" x14ac:dyDescent="0.25">
      <c r="A293">
        <v>1292</v>
      </c>
      <c r="B293">
        <v>47</v>
      </c>
      <c r="C293" t="s">
        <v>31</v>
      </c>
      <c r="D293" t="s">
        <v>23</v>
      </c>
      <c r="E293" t="s">
        <v>14</v>
      </c>
      <c r="F293" t="s">
        <v>45</v>
      </c>
      <c r="G293">
        <v>82658</v>
      </c>
      <c r="H293">
        <v>26</v>
      </c>
      <c r="I293">
        <v>1</v>
      </c>
      <c r="J293">
        <v>3</v>
      </c>
      <c r="K293">
        <v>4</v>
      </c>
      <c r="L293" s="1">
        <v>45207</v>
      </c>
      <c r="M293" s="1"/>
      <c r="N293" t="s">
        <v>49</v>
      </c>
    </row>
    <row r="294" spans="1:14" x14ac:dyDescent="0.25">
      <c r="A294">
        <v>1293</v>
      </c>
      <c r="B294">
        <v>23</v>
      </c>
      <c r="C294" t="s">
        <v>32</v>
      </c>
      <c r="D294" t="s">
        <v>27</v>
      </c>
      <c r="E294" t="s">
        <v>14</v>
      </c>
      <c r="F294" t="s">
        <v>18</v>
      </c>
      <c r="G294">
        <v>68292</v>
      </c>
      <c r="H294">
        <v>11</v>
      </c>
      <c r="I294">
        <v>40</v>
      </c>
      <c r="K294">
        <v>3</v>
      </c>
      <c r="L294" s="1">
        <v>42402</v>
      </c>
      <c r="M294" s="1"/>
      <c r="N294" t="s">
        <v>49</v>
      </c>
    </row>
    <row r="295" spans="1:14" x14ac:dyDescent="0.25">
      <c r="A295">
        <v>1294</v>
      </c>
      <c r="B295">
        <v>54</v>
      </c>
      <c r="C295" t="s">
        <v>31</v>
      </c>
      <c r="D295" t="s">
        <v>23</v>
      </c>
      <c r="E295" t="s">
        <v>20</v>
      </c>
      <c r="F295" t="s">
        <v>45</v>
      </c>
      <c r="G295">
        <v>47570</v>
      </c>
      <c r="H295">
        <v>10</v>
      </c>
      <c r="I295">
        <v>47</v>
      </c>
      <c r="K295">
        <v>3</v>
      </c>
      <c r="L295" s="1">
        <v>44927</v>
      </c>
      <c r="M295" s="1">
        <v>44716</v>
      </c>
      <c r="N295" t="s">
        <v>50</v>
      </c>
    </row>
    <row r="296" spans="1:14" x14ac:dyDescent="0.25">
      <c r="A296">
        <v>1295</v>
      </c>
      <c r="B296">
        <v>22</v>
      </c>
      <c r="C296" t="s">
        <v>32</v>
      </c>
      <c r="D296" t="s">
        <v>19</v>
      </c>
      <c r="E296" t="s">
        <v>14</v>
      </c>
      <c r="F296" t="s">
        <v>45</v>
      </c>
      <c r="G296">
        <v>108704</v>
      </c>
      <c r="H296">
        <v>15</v>
      </c>
      <c r="I296">
        <v>18</v>
      </c>
      <c r="K296">
        <v>4</v>
      </c>
      <c r="L296" s="1">
        <v>45651</v>
      </c>
      <c r="M296" s="1">
        <v>45497</v>
      </c>
      <c r="N296" t="s">
        <v>50</v>
      </c>
    </row>
    <row r="297" spans="1:14" x14ac:dyDescent="0.25">
      <c r="A297">
        <v>1296</v>
      </c>
      <c r="B297">
        <v>32</v>
      </c>
      <c r="C297" t="s">
        <v>32</v>
      </c>
      <c r="D297" t="s">
        <v>19</v>
      </c>
      <c r="E297" t="s">
        <v>14</v>
      </c>
      <c r="F297" t="s">
        <v>17</v>
      </c>
      <c r="G297">
        <v>72446</v>
      </c>
      <c r="H297">
        <v>4</v>
      </c>
      <c r="I297">
        <v>15</v>
      </c>
      <c r="J297">
        <v>2</v>
      </c>
      <c r="K297">
        <v>8</v>
      </c>
      <c r="L297" s="1">
        <v>43875</v>
      </c>
      <c r="M297" s="1">
        <v>44856</v>
      </c>
      <c r="N297" t="s">
        <v>50</v>
      </c>
    </row>
    <row r="298" spans="1:14" x14ac:dyDescent="0.25">
      <c r="A298">
        <v>1297</v>
      </c>
      <c r="B298">
        <v>21</v>
      </c>
      <c r="C298" t="s">
        <v>31</v>
      </c>
      <c r="D298" t="s">
        <v>16</v>
      </c>
      <c r="E298" t="s">
        <v>20</v>
      </c>
      <c r="F298" t="s">
        <v>26</v>
      </c>
      <c r="G298">
        <v>104043</v>
      </c>
      <c r="H298">
        <v>7</v>
      </c>
      <c r="I298">
        <v>6</v>
      </c>
      <c r="J298">
        <v>5</v>
      </c>
      <c r="K298">
        <v>6</v>
      </c>
      <c r="L298" s="1">
        <v>45644</v>
      </c>
      <c r="M298" s="1"/>
      <c r="N298" t="s">
        <v>49</v>
      </c>
    </row>
    <row r="299" spans="1:14" x14ac:dyDescent="0.25">
      <c r="A299">
        <v>1298</v>
      </c>
      <c r="B299">
        <v>58</v>
      </c>
      <c r="C299" t="s">
        <v>31</v>
      </c>
      <c r="D299" t="s">
        <v>23</v>
      </c>
      <c r="E299" t="s">
        <v>12</v>
      </c>
      <c r="F299" t="s">
        <v>17</v>
      </c>
      <c r="G299">
        <v>46414</v>
      </c>
      <c r="H299">
        <v>28</v>
      </c>
      <c r="I299">
        <v>4</v>
      </c>
      <c r="K299">
        <v>10</v>
      </c>
      <c r="L299" s="1">
        <v>43173</v>
      </c>
      <c r="M299" s="1"/>
      <c r="N299" t="s">
        <v>49</v>
      </c>
    </row>
    <row r="300" spans="1:14" x14ac:dyDescent="0.25">
      <c r="A300">
        <v>1299</v>
      </c>
      <c r="B300">
        <v>42</v>
      </c>
      <c r="C300" t="s">
        <v>32</v>
      </c>
      <c r="D300" t="s">
        <v>27</v>
      </c>
      <c r="E300" t="s">
        <v>28</v>
      </c>
      <c r="F300" t="s">
        <v>45</v>
      </c>
      <c r="G300">
        <v>51296</v>
      </c>
      <c r="H300">
        <v>22</v>
      </c>
      <c r="I300">
        <v>0</v>
      </c>
      <c r="K300">
        <v>5</v>
      </c>
      <c r="L300" s="1">
        <v>44598</v>
      </c>
      <c r="M300" s="1">
        <v>44537</v>
      </c>
      <c r="N300" t="s">
        <v>50</v>
      </c>
    </row>
    <row r="301" spans="1:14" x14ac:dyDescent="0.25">
      <c r="A301">
        <v>1300</v>
      </c>
      <c r="B301">
        <v>34</v>
      </c>
      <c r="C301" t="s">
        <v>31</v>
      </c>
      <c r="D301" t="s">
        <v>16</v>
      </c>
      <c r="E301" t="s">
        <v>12</v>
      </c>
      <c r="F301" t="s">
        <v>21</v>
      </c>
      <c r="G301">
        <v>87283</v>
      </c>
      <c r="H301">
        <v>8</v>
      </c>
      <c r="I301">
        <v>6</v>
      </c>
      <c r="J301">
        <v>5</v>
      </c>
      <c r="K301">
        <v>7</v>
      </c>
      <c r="L301" s="1">
        <v>43270</v>
      </c>
      <c r="M301" s="1"/>
      <c r="N301" t="s">
        <v>49</v>
      </c>
    </row>
    <row r="302" spans="1:14" x14ac:dyDescent="0.25">
      <c r="A302">
        <v>1301</v>
      </c>
      <c r="B302">
        <v>24</v>
      </c>
      <c r="C302" t="s">
        <v>31</v>
      </c>
      <c r="D302" t="s">
        <v>22</v>
      </c>
      <c r="E302" t="s">
        <v>25</v>
      </c>
      <c r="F302" t="s">
        <v>26</v>
      </c>
      <c r="G302">
        <v>84931</v>
      </c>
      <c r="H302">
        <v>24</v>
      </c>
      <c r="I302">
        <v>49</v>
      </c>
      <c r="J302">
        <v>4</v>
      </c>
      <c r="K302">
        <v>7</v>
      </c>
      <c r="L302" s="1">
        <v>42451</v>
      </c>
      <c r="M302" s="1"/>
      <c r="N302" t="s">
        <v>49</v>
      </c>
    </row>
    <row r="303" spans="1:14" x14ac:dyDescent="0.25">
      <c r="A303">
        <v>1302</v>
      </c>
      <c r="B303">
        <v>39</v>
      </c>
      <c r="C303" t="s">
        <v>31</v>
      </c>
      <c r="D303" t="s">
        <v>19</v>
      </c>
      <c r="E303" t="s">
        <v>14</v>
      </c>
      <c r="F303" t="s">
        <v>29</v>
      </c>
      <c r="G303">
        <v>101756</v>
      </c>
      <c r="H303">
        <v>17</v>
      </c>
      <c r="I303">
        <v>38</v>
      </c>
      <c r="J303">
        <v>3</v>
      </c>
      <c r="K303">
        <v>4</v>
      </c>
      <c r="L303" s="1">
        <v>43564</v>
      </c>
      <c r="M303" s="1"/>
      <c r="N303" t="s">
        <v>49</v>
      </c>
    </row>
    <row r="304" spans="1:14" x14ac:dyDescent="0.25">
      <c r="A304">
        <v>1303</v>
      </c>
      <c r="B304">
        <v>49</v>
      </c>
      <c r="C304" t="s">
        <v>32</v>
      </c>
      <c r="D304" t="s">
        <v>23</v>
      </c>
      <c r="E304" t="s">
        <v>20</v>
      </c>
      <c r="F304" t="s">
        <v>15</v>
      </c>
      <c r="G304">
        <v>59765</v>
      </c>
      <c r="H304">
        <v>6</v>
      </c>
      <c r="I304">
        <v>51</v>
      </c>
      <c r="K304">
        <v>10</v>
      </c>
      <c r="L304" s="1">
        <v>44887</v>
      </c>
      <c r="M304" s="1"/>
      <c r="N304" t="s">
        <v>49</v>
      </c>
    </row>
    <row r="305" spans="1:14" x14ac:dyDescent="0.25">
      <c r="A305">
        <v>1304</v>
      </c>
      <c r="B305">
        <v>48</v>
      </c>
      <c r="C305" t="s">
        <v>31</v>
      </c>
      <c r="D305" t="s">
        <v>27</v>
      </c>
      <c r="E305" t="s">
        <v>25</v>
      </c>
      <c r="F305" t="s">
        <v>29</v>
      </c>
      <c r="G305">
        <v>71692</v>
      </c>
      <c r="H305">
        <v>18</v>
      </c>
      <c r="I305">
        <v>55</v>
      </c>
      <c r="J305">
        <v>1</v>
      </c>
      <c r="K305">
        <v>5</v>
      </c>
      <c r="L305" s="1">
        <v>45275</v>
      </c>
      <c r="M305" s="1">
        <v>43983</v>
      </c>
      <c r="N305" t="s">
        <v>50</v>
      </c>
    </row>
    <row r="306" spans="1:14" x14ac:dyDescent="0.25">
      <c r="A306">
        <v>1305</v>
      </c>
      <c r="B306">
        <v>36</v>
      </c>
      <c r="C306" t="s">
        <v>31</v>
      </c>
      <c r="D306" t="s">
        <v>13</v>
      </c>
      <c r="E306" t="s">
        <v>14</v>
      </c>
      <c r="F306" t="s">
        <v>15</v>
      </c>
      <c r="G306">
        <v>94524</v>
      </c>
      <c r="H306">
        <v>9</v>
      </c>
      <c r="I306">
        <v>2</v>
      </c>
      <c r="J306">
        <v>4</v>
      </c>
      <c r="K306">
        <v>5</v>
      </c>
      <c r="L306" s="1">
        <v>45654</v>
      </c>
      <c r="M306" s="1">
        <v>42506</v>
      </c>
      <c r="N306" t="s">
        <v>50</v>
      </c>
    </row>
    <row r="307" spans="1:14" x14ac:dyDescent="0.25">
      <c r="A307">
        <v>1306</v>
      </c>
      <c r="B307">
        <v>38</v>
      </c>
      <c r="C307" t="s">
        <v>31</v>
      </c>
      <c r="D307" t="s">
        <v>23</v>
      </c>
      <c r="E307" t="s">
        <v>12</v>
      </c>
      <c r="F307" t="s">
        <v>26</v>
      </c>
      <c r="G307">
        <v>47887</v>
      </c>
      <c r="H307">
        <v>10</v>
      </c>
      <c r="I307">
        <v>17</v>
      </c>
      <c r="J307">
        <v>2</v>
      </c>
      <c r="K307">
        <v>4</v>
      </c>
      <c r="L307" s="1">
        <v>43375</v>
      </c>
      <c r="M307" s="1"/>
      <c r="N307" t="s">
        <v>49</v>
      </c>
    </row>
    <row r="308" spans="1:14" x14ac:dyDescent="0.25">
      <c r="A308">
        <v>1307</v>
      </c>
      <c r="B308">
        <v>51</v>
      </c>
      <c r="C308" t="s">
        <v>31</v>
      </c>
      <c r="D308" t="s">
        <v>13</v>
      </c>
      <c r="E308" t="s">
        <v>20</v>
      </c>
      <c r="F308" t="s">
        <v>18</v>
      </c>
      <c r="G308">
        <v>107484</v>
      </c>
      <c r="H308">
        <v>29</v>
      </c>
      <c r="I308">
        <v>11</v>
      </c>
      <c r="K308">
        <v>5</v>
      </c>
      <c r="L308" s="1">
        <v>44204</v>
      </c>
      <c r="M308" s="1"/>
      <c r="N308" t="s">
        <v>49</v>
      </c>
    </row>
    <row r="309" spans="1:14" x14ac:dyDescent="0.25">
      <c r="A309">
        <v>1308</v>
      </c>
      <c r="B309">
        <v>30</v>
      </c>
      <c r="C309" t="s">
        <v>31</v>
      </c>
      <c r="D309" t="s">
        <v>23</v>
      </c>
      <c r="E309" t="s">
        <v>20</v>
      </c>
      <c r="F309" t="s">
        <v>29</v>
      </c>
      <c r="G309">
        <v>93642</v>
      </c>
      <c r="H309">
        <v>22</v>
      </c>
      <c r="I309">
        <v>32</v>
      </c>
      <c r="J309">
        <v>5</v>
      </c>
      <c r="K309">
        <v>7</v>
      </c>
      <c r="L309" s="1">
        <v>44175</v>
      </c>
      <c r="M309" s="1"/>
      <c r="N309" t="s">
        <v>49</v>
      </c>
    </row>
    <row r="310" spans="1:14" x14ac:dyDescent="0.25">
      <c r="A310">
        <v>1309</v>
      </c>
      <c r="B310">
        <v>45</v>
      </c>
      <c r="C310" t="s">
        <v>31</v>
      </c>
      <c r="D310" t="s">
        <v>27</v>
      </c>
      <c r="E310" t="s">
        <v>25</v>
      </c>
      <c r="F310" t="s">
        <v>21</v>
      </c>
      <c r="G310">
        <v>107346</v>
      </c>
      <c r="H310">
        <v>12</v>
      </c>
      <c r="I310">
        <v>53</v>
      </c>
      <c r="J310">
        <v>4</v>
      </c>
      <c r="K310">
        <v>1</v>
      </c>
      <c r="L310" s="1">
        <v>43549</v>
      </c>
      <c r="M310" s="1">
        <v>42739</v>
      </c>
      <c r="N310" t="s">
        <v>50</v>
      </c>
    </row>
    <row r="311" spans="1:14" x14ac:dyDescent="0.25">
      <c r="A311">
        <v>1310</v>
      </c>
      <c r="B311">
        <v>50</v>
      </c>
      <c r="C311" t="s">
        <v>32</v>
      </c>
      <c r="D311" t="s">
        <v>13</v>
      </c>
      <c r="E311" t="s">
        <v>20</v>
      </c>
      <c r="F311" t="s">
        <v>21</v>
      </c>
      <c r="G311">
        <v>54506</v>
      </c>
      <c r="H311">
        <v>22</v>
      </c>
      <c r="I311">
        <v>57</v>
      </c>
      <c r="J311">
        <v>5</v>
      </c>
      <c r="K311">
        <v>8</v>
      </c>
      <c r="L311" s="1">
        <v>42061</v>
      </c>
      <c r="M311" s="1">
        <v>45416</v>
      </c>
      <c r="N311" t="s">
        <v>50</v>
      </c>
    </row>
    <row r="312" spans="1:14" x14ac:dyDescent="0.25">
      <c r="A312">
        <v>1311</v>
      </c>
      <c r="B312">
        <v>29</v>
      </c>
      <c r="C312" t="s">
        <v>31</v>
      </c>
      <c r="D312" t="s">
        <v>27</v>
      </c>
      <c r="E312" t="s">
        <v>12</v>
      </c>
      <c r="F312" t="s">
        <v>18</v>
      </c>
      <c r="G312">
        <v>60753</v>
      </c>
      <c r="H312">
        <v>5</v>
      </c>
      <c r="I312">
        <v>0</v>
      </c>
      <c r="K312">
        <v>3</v>
      </c>
      <c r="L312" s="1">
        <v>42749</v>
      </c>
      <c r="M312" s="1"/>
      <c r="N312" t="s">
        <v>49</v>
      </c>
    </row>
    <row r="313" spans="1:14" x14ac:dyDescent="0.25">
      <c r="A313">
        <v>1312</v>
      </c>
      <c r="B313">
        <v>28</v>
      </c>
      <c r="C313" t="s">
        <v>31</v>
      </c>
      <c r="D313" t="s">
        <v>19</v>
      </c>
      <c r="E313" t="s">
        <v>25</v>
      </c>
      <c r="F313" t="s">
        <v>15</v>
      </c>
      <c r="G313">
        <v>49691</v>
      </c>
      <c r="H313">
        <v>26</v>
      </c>
      <c r="I313">
        <v>11</v>
      </c>
      <c r="J313">
        <v>3</v>
      </c>
      <c r="K313">
        <v>6</v>
      </c>
      <c r="L313" s="1">
        <v>45048</v>
      </c>
      <c r="M313" s="1"/>
      <c r="N313" t="s">
        <v>49</v>
      </c>
    </row>
    <row r="314" spans="1:14" x14ac:dyDescent="0.25">
      <c r="A314">
        <v>1313</v>
      </c>
      <c r="B314">
        <v>29</v>
      </c>
      <c r="C314" t="s">
        <v>32</v>
      </c>
      <c r="D314" t="s">
        <v>13</v>
      </c>
      <c r="E314" t="s">
        <v>25</v>
      </c>
      <c r="F314" t="s">
        <v>15</v>
      </c>
      <c r="G314">
        <v>80942</v>
      </c>
      <c r="H314">
        <v>6</v>
      </c>
      <c r="I314">
        <v>60</v>
      </c>
      <c r="J314">
        <v>4</v>
      </c>
      <c r="K314">
        <v>4</v>
      </c>
      <c r="L314" s="1">
        <v>43876</v>
      </c>
      <c r="M314" s="1"/>
      <c r="N314" t="s">
        <v>49</v>
      </c>
    </row>
    <row r="315" spans="1:14" x14ac:dyDescent="0.25">
      <c r="A315">
        <v>1314</v>
      </c>
      <c r="B315">
        <v>40</v>
      </c>
      <c r="C315" t="s">
        <v>31</v>
      </c>
      <c r="D315" t="s">
        <v>27</v>
      </c>
      <c r="E315" t="s">
        <v>25</v>
      </c>
      <c r="F315" t="s">
        <v>18</v>
      </c>
      <c r="G315">
        <v>98599</v>
      </c>
      <c r="H315">
        <v>15</v>
      </c>
      <c r="I315">
        <v>1</v>
      </c>
      <c r="J315">
        <v>5</v>
      </c>
      <c r="K315">
        <v>4</v>
      </c>
      <c r="L315" s="1">
        <v>43600</v>
      </c>
      <c r="M315" s="1"/>
      <c r="N315" t="s">
        <v>49</v>
      </c>
    </row>
    <row r="316" spans="1:14" x14ac:dyDescent="0.25">
      <c r="A316">
        <v>1315</v>
      </c>
      <c r="B316">
        <v>43</v>
      </c>
      <c r="C316" t="s">
        <v>32</v>
      </c>
      <c r="D316" t="s">
        <v>23</v>
      </c>
      <c r="E316" t="s">
        <v>25</v>
      </c>
      <c r="F316" t="s">
        <v>26</v>
      </c>
      <c r="G316">
        <v>53064</v>
      </c>
      <c r="H316">
        <v>30</v>
      </c>
      <c r="I316">
        <v>37</v>
      </c>
      <c r="J316">
        <v>5</v>
      </c>
      <c r="K316">
        <v>8</v>
      </c>
      <c r="L316" s="1">
        <v>45231</v>
      </c>
      <c r="M316" s="1">
        <v>42896</v>
      </c>
      <c r="N316" t="s">
        <v>50</v>
      </c>
    </row>
    <row r="317" spans="1:14" x14ac:dyDescent="0.25">
      <c r="A317">
        <v>1316</v>
      </c>
      <c r="B317">
        <v>55</v>
      </c>
      <c r="C317" t="s">
        <v>32</v>
      </c>
      <c r="D317" t="s">
        <v>23</v>
      </c>
      <c r="E317" t="s">
        <v>12</v>
      </c>
      <c r="F317" t="s">
        <v>45</v>
      </c>
      <c r="G317">
        <v>84188</v>
      </c>
      <c r="H317">
        <v>29</v>
      </c>
      <c r="I317">
        <v>9</v>
      </c>
      <c r="J317">
        <v>4</v>
      </c>
      <c r="K317">
        <v>9</v>
      </c>
      <c r="L317" s="1">
        <v>45445</v>
      </c>
      <c r="M317" s="1"/>
      <c r="N317" t="s">
        <v>49</v>
      </c>
    </row>
    <row r="318" spans="1:14" x14ac:dyDescent="0.25">
      <c r="A318">
        <v>1317</v>
      </c>
      <c r="B318">
        <v>51</v>
      </c>
      <c r="C318" t="s">
        <v>32</v>
      </c>
      <c r="D318" t="s">
        <v>19</v>
      </c>
      <c r="E318" t="s">
        <v>25</v>
      </c>
      <c r="F318" t="s">
        <v>45</v>
      </c>
      <c r="G318">
        <v>93293</v>
      </c>
      <c r="H318">
        <v>30</v>
      </c>
      <c r="I318">
        <v>29</v>
      </c>
      <c r="J318">
        <v>1</v>
      </c>
      <c r="K318">
        <v>5</v>
      </c>
      <c r="L318" s="1">
        <v>44970</v>
      </c>
      <c r="M318" s="1"/>
      <c r="N318" t="s">
        <v>49</v>
      </c>
    </row>
    <row r="319" spans="1:14" x14ac:dyDescent="0.25">
      <c r="A319">
        <v>1318</v>
      </c>
      <c r="B319">
        <v>43</v>
      </c>
      <c r="C319" t="s">
        <v>31</v>
      </c>
      <c r="D319" t="s">
        <v>27</v>
      </c>
      <c r="E319" t="s">
        <v>25</v>
      </c>
      <c r="F319" t="s">
        <v>45</v>
      </c>
      <c r="G319">
        <v>85761</v>
      </c>
      <c r="H319">
        <v>15</v>
      </c>
      <c r="I319">
        <v>26</v>
      </c>
      <c r="J319">
        <v>4</v>
      </c>
      <c r="K319">
        <v>7</v>
      </c>
      <c r="L319" s="1">
        <v>43571</v>
      </c>
      <c r="M319" s="1">
        <v>43717</v>
      </c>
      <c r="N319" t="s">
        <v>50</v>
      </c>
    </row>
    <row r="320" spans="1:14" x14ac:dyDescent="0.25">
      <c r="A320">
        <v>1319</v>
      </c>
      <c r="B320">
        <v>23</v>
      </c>
      <c r="C320" t="s">
        <v>32</v>
      </c>
      <c r="D320" t="s">
        <v>23</v>
      </c>
      <c r="E320" t="s">
        <v>12</v>
      </c>
      <c r="F320" t="s">
        <v>45</v>
      </c>
      <c r="G320">
        <v>89849</v>
      </c>
      <c r="H320">
        <v>26</v>
      </c>
      <c r="I320">
        <v>51</v>
      </c>
      <c r="J320">
        <v>2</v>
      </c>
      <c r="K320">
        <v>4</v>
      </c>
      <c r="L320" s="1">
        <v>43801</v>
      </c>
      <c r="M320" s="1"/>
      <c r="N320" t="s">
        <v>49</v>
      </c>
    </row>
    <row r="321" spans="1:14" x14ac:dyDescent="0.25">
      <c r="A321">
        <v>1320</v>
      </c>
      <c r="B321">
        <v>53</v>
      </c>
      <c r="C321" t="s">
        <v>31</v>
      </c>
      <c r="D321" t="s">
        <v>19</v>
      </c>
      <c r="E321" t="s">
        <v>20</v>
      </c>
      <c r="F321" t="s">
        <v>17</v>
      </c>
      <c r="G321">
        <v>72657</v>
      </c>
      <c r="H321">
        <v>19</v>
      </c>
      <c r="I321">
        <v>24</v>
      </c>
      <c r="J321">
        <v>4</v>
      </c>
      <c r="K321">
        <v>7</v>
      </c>
      <c r="L321" s="1">
        <v>42769</v>
      </c>
      <c r="M321" s="1"/>
      <c r="N321" t="s">
        <v>49</v>
      </c>
    </row>
    <row r="322" spans="1:14" x14ac:dyDescent="0.25">
      <c r="A322">
        <v>1321</v>
      </c>
      <c r="B322">
        <v>60</v>
      </c>
      <c r="C322" t="s">
        <v>31</v>
      </c>
      <c r="D322" t="s">
        <v>27</v>
      </c>
      <c r="E322" t="s">
        <v>14</v>
      </c>
      <c r="F322" t="s">
        <v>45</v>
      </c>
      <c r="G322">
        <v>80272</v>
      </c>
      <c r="H322">
        <v>20</v>
      </c>
      <c r="I322">
        <v>14</v>
      </c>
      <c r="K322">
        <v>3</v>
      </c>
      <c r="L322" s="1">
        <v>44131</v>
      </c>
      <c r="M322" s="1"/>
      <c r="N322" t="s">
        <v>49</v>
      </c>
    </row>
    <row r="323" spans="1:14" x14ac:dyDescent="0.25">
      <c r="A323">
        <v>1322</v>
      </c>
      <c r="B323">
        <v>57</v>
      </c>
      <c r="C323" t="s">
        <v>31</v>
      </c>
      <c r="D323" t="s">
        <v>13</v>
      </c>
      <c r="E323" t="s">
        <v>20</v>
      </c>
      <c r="F323" t="s">
        <v>21</v>
      </c>
      <c r="G323">
        <v>71758</v>
      </c>
      <c r="H323">
        <v>12</v>
      </c>
      <c r="I323">
        <v>31</v>
      </c>
      <c r="K323">
        <v>8</v>
      </c>
      <c r="L323" s="1">
        <v>44455</v>
      </c>
      <c r="M323" s="1"/>
      <c r="N323" t="s">
        <v>49</v>
      </c>
    </row>
    <row r="324" spans="1:14" x14ac:dyDescent="0.25">
      <c r="A324">
        <v>1323</v>
      </c>
      <c r="B324">
        <v>29</v>
      </c>
      <c r="C324" t="s">
        <v>32</v>
      </c>
      <c r="D324" t="s">
        <v>16</v>
      </c>
      <c r="E324" t="s">
        <v>14</v>
      </c>
      <c r="F324" t="s">
        <v>45</v>
      </c>
      <c r="G324">
        <v>56073</v>
      </c>
      <c r="H324">
        <v>30</v>
      </c>
      <c r="I324">
        <v>48</v>
      </c>
      <c r="J324">
        <v>5</v>
      </c>
      <c r="K324">
        <v>6</v>
      </c>
      <c r="L324" s="1">
        <v>44109</v>
      </c>
      <c r="M324" s="1"/>
      <c r="N324" t="s">
        <v>49</v>
      </c>
    </row>
    <row r="325" spans="1:14" x14ac:dyDescent="0.25">
      <c r="A325">
        <v>1324</v>
      </c>
      <c r="B325">
        <v>40</v>
      </c>
      <c r="C325" t="s">
        <v>31</v>
      </c>
      <c r="D325" t="s">
        <v>22</v>
      </c>
      <c r="E325" t="s">
        <v>25</v>
      </c>
      <c r="F325" t="s">
        <v>17</v>
      </c>
      <c r="G325">
        <v>71481</v>
      </c>
      <c r="H325">
        <v>5</v>
      </c>
      <c r="I325">
        <v>13</v>
      </c>
      <c r="K325">
        <v>10</v>
      </c>
      <c r="L325" s="1">
        <v>45051</v>
      </c>
      <c r="M325" s="1"/>
      <c r="N325" t="s">
        <v>49</v>
      </c>
    </row>
    <row r="326" spans="1:14" x14ac:dyDescent="0.25">
      <c r="A326">
        <v>1325</v>
      </c>
      <c r="B326">
        <v>57</v>
      </c>
      <c r="C326" t="s">
        <v>31</v>
      </c>
      <c r="D326" t="s">
        <v>27</v>
      </c>
      <c r="E326" t="s">
        <v>14</v>
      </c>
      <c r="F326" t="s">
        <v>45</v>
      </c>
      <c r="G326">
        <v>61792</v>
      </c>
      <c r="H326">
        <v>24</v>
      </c>
      <c r="I326">
        <v>52</v>
      </c>
      <c r="K326">
        <v>2</v>
      </c>
      <c r="L326" s="1">
        <v>42939</v>
      </c>
      <c r="M326" s="1"/>
      <c r="N326" t="s">
        <v>49</v>
      </c>
    </row>
    <row r="327" spans="1:14" x14ac:dyDescent="0.25">
      <c r="A327">
        <v>1326</v>
      </c>
      <c r="B327">
        <v>49</v>
      </c>
      <c r="C327" t="s">
        <v>32</v>
      </c>
      <c r="D327" t="s">
        <v>23</v>
      </c>
      <c r="E327" t="s">
        <v>12</v>
      </c>
      <c r="F327" t="s">
        <v>18</v>
      </c>
      <c r="G327">
        <v>75485</v>
      </c>
      <c r="H327">
        <v>6</v>
      </c>
      <c r="I327">
        <v>12</v>
      </c>
      <c r="K327">
        <v>1</v>
      </c>
      <c r="L327" s="1">
        <v>45352</v>
      </c>
      <c r="M327" s="1"/>
      <c r="N327" t="s">
        <v>49</v>
      </c>
    </row>
    <row r="328" spans="1:14" x14ac:dyDescent="0.25">
      <c r="A328">
        <v>1327</v>
      </c>
      <c r="B328">
        <v>33</v>
      </c>
      <c r="C328" t="s">
        <v>31</v>
      </c>
      <c r="D328" t="s">
        <v>23</v>
      </c>
      <c r="E328" t="s">
        <v>12</v>
      </c>
      <c r="F328" t="s">
        <v>15</v>
      </c>
      <c r="G328">
        <v>90274</v>
      </c>
      <c r="H328">
        <v>13</v>
      </c>
      <c r="I328">
        <v>2</v>
      </c>
      <c r="J328">
        <v>1</v>
      </c>
      <c r="K328">
        <v>8</v>
      </c>
      <c r="L328" s="1">
        <v>42405</v>
      </c>
      <c r="M328" s="1">
        <v>45078</v>
      </c>
      <c r="N328" t="s">
        <v>50</v>
      </c>
    </row>
    <row r="329" spans="1:14" x14ac:dyDescent="0.25">
      <c r="A329">
        <v>1328</v>
      </c>
      <c r="B329">
        <v>59</v>
      </c>
      <c r="C329" t="s">
        <v>31</v>
      </c>
      <c r="D329" t="s">
        <v>19</v>
      </c>
      <c r="E329" t="s">
        <v>20</v>
      </c>
      <c r="F329" t="s">
        <v>15</v>
      </c>
      <c r="G329">
        <v>99136</v>
      </c>
      <c r="H329">
        <v>2</v>
      </c>
      <c r="I329">
        <v>8</v>
      </c>
      <c r="K329">
        <v>9</v>
      </c>
      <c r="L329" s="1">
        <v>45467</v>
      </c>
      <c r="M329" s="1"/>
      <c r="N329" t="s">
        <v>49</v>
      </c>
    </row>
    <row r="330" spans="1:14" x14ac:dyDescent="0.25">
      <c r="A330">
        <v>1329</v>
      </c>
      <c r="B330">
        <v>51</v>
      </c>
      <c r="C330" t="s">
        <v>31</v>
      </c>
      <c r="D330" t="s">
        <v>13</v>
      </c>
      <c r="E330" t="s">
        <v>25</v>
      </c>
      <c r="F330" t="s">
        <v>29</v>
      </c>
      <c r="G330">
        <v>79966</v>
      </c>
      <c r="H330">
        <v>15</v>
      </c>
      <c r="I330">
        <v>30</v>
      </c>
      <c r="K330">
        <v>9</v>
      </c>
      <c r="L330" s="1">
        <v>44016</v>
      </c>
      <c r="M330" s="1"/>
      <c r="N330" t="s">
        <v>49</v>
      </c>
    </row>
    <row r="331" spans="1:14" x14ac:dyDescent="0.25">
      <c r="A331">
        <v>1330</v>
      </c>
      <c r="B331">
        <v>44</v>
      </c>
      <c r="C331" t="s">
        <v>32</v>
      </c>
      <c r="D331" t="s">
        <v>22</v>
      </c>
      <c r="E331" t="s">
        <v>25</v>
      </c>
      <c r="F331" t="s">
        <v>15</v>
      </c>
      <c r="G331">
        <v>83672</v>
      </c>
      <c r="H331">
        <v>23</v>
      </c>
      <c r="I331">
        <v>14</v>
      </c>
      <c r="J331">
        <v>3</v>
      </c>
      <c r="K331">
        <v>6</v>
      </c>
      <c r="L331" s="1">
        <v>43658</v>
      </c>
      <c r="M331" s="1"/>
      <c r="N331" t="s">
        <v>49</v>
      </c>
    </row>
    <row r="332" spans="1:14" x14ac:dyDescent="0.25">
      <c r="A332">
        <v>1331</v>
      </c>
      <c r="B332">
        <v>40</v>
      </c>
      <c r="C332" t="s">
        <v>32</v>
      </c>
      <c r="D332" t="s">
        <v>27</v>
      </c>
      <c r="E332" t="s">
        <v>20</v>
      </c>
      <c r="F332" t="s">
        <v>21</v>
      </c>
      <c r="G332">
        <v>94637</v>
      </c>
      <c r="H332">
        <v>16</v>
      </c>
      <c r="I332">
        <v>5</v>
      </c>
      <c r="J332">
        <v>1</v>
      </c>
      <c r="K332">
        <v>8</v>
      </c>
      <c r="L332" s="1">
        <v>44524</v>
      </c>
      <c r="M332" s="1">
        <v>44949</v>
      </c>
      <c r="N332" t="s">
        <v>50</v>
      </c>
    </row>
    <row r="333" spans="1:14" x14ac:dyDescent="0.25">
      <c r="A333">
        <v>1332</v>
      </c>
      <c r="B333">
        <v>41</v>
      </c>
      <c r="C333" t="s">
        <v>31</v>
      </c>
      <c r="D333" t="s">
        <v>23</v>
      </c>
      <c r="E333" t="s">
        <v>25</v>
      </c>
      <c r="F333" t="s">
        <v>18</v>
      </c>
      <c r="G333">
        <v>95808</v>
      </c>
      <c r="H333">
        <v>14</v>
      </c>
      <c r="I333">
        <v>34</v>
      </c>
      <c r="K333">
        <v>7</v>
      </c>
      <c r="L333" s="1">
        <v>45212</v>
      </c>
      <c r="M333" s="1"/>
      <c r="N333" t="s">
        <v>49</v>
      </c>
    </row>
    <row r="334" spans="1:14" x14ac:dyDescent="0.25">
      <c r="A334">
        <v>1333</v>
      </c>
      <c r="B334">
        <v>39</v>
      </c>
      <c r="C334" t="s">
        <v>31</v>
      </c>
      <c r="D334" t="s">
        <v>27</v>
      </c>
      <c r="E334" t="s">
        <v>12</v>
      </c>
      <c r="F334" t="s">
        <v>17</v>
      </c>
      <c r="G334">
        <v>70406</v>
      </c>
      <c r="H334">
        <v>16</v>
      </c>
      <c r="I334">
        <v>58</v>
      </c>
      <c r="J334">
        <v>3</v>
      </c>
      <c r="K334">
        <v>9</v>
      </c>
      <c r="L334" s="1">
        <v>44132</v>
      </c>
      <c r="M334" s="1"/>
      <c r="N334" t="s">
        <v>49</v>
      </c>
    </row>
    <row r="335" spans="1:14" x14ac:dyDescent="0.25">
      <c r="A335">
        <v>1334</v>
      </c>
      <c r="B335">
        <v>23</v>
      </c>
      <c r="C335" t="s">
        <v>32</v>
      </c>
      <c r="D335" t="s">
        <v>27</v>
      </c>
      <c r="E335" t="s">
        <v>25</v>
      </c>
      <c r="F335" t="s">
        <v>45</v>
      </c>
      <c r="G335">
        <v>81587</v>
      </c>
      <c r="H335">
        <v>0</v>
      </c>
      <c r="I335">
        <v>51</v>
      </c>
      <c r="K335">
        <v>2</v>
      </c>
      <c r="L335" s="1">
        <v>44035</v>
      </c>
      <c r="M335" s="1">
        <v>44672</v>
      </c>
      <c r="N335" t="s">
        <v>50</v>
      </c>
    </row>
    <row r="336" spans="1:14" x14ac:dyDescent="0.25">
      <c r="A336">
        <v>1335</v>
      </c>
      <c r="B336">
        <v>29</v>
      </c>
      <c r="C336" t="s">
        <v>32</v>
      </c>
      <c r="D336" t="s">
        <v>22</v>
      </c>
      <c r="E336" t="s">
        <v>12</v>
      </c>
      <c r="F336" t="s">
        <v>18</v>
      </c>
      <c r="G336">
        <v>109035</v>
      </c>
      <c r="H336">
        <v>16</v>
      </c>
      <c r="I336">
        <v>19</v>
      </c>
      <c r="J336">
        <v>2</v>
      </c>
      <c r="K336">
        <v>3</v>
      </c>
      <c r="L336" s="1">
        <v>42914</v>
      </c>
      <c r="M336" s="1"/>
      <c r="N336" t="s">
        <v>49</v>
      </c>
    </row>
    <row r="337" spans="1:14" x14ac:dyDescent="0.25">
      <c r="A337">
        <v>1336</v>
      </c>
      <c r="B337">
        <v>52</v>
      </c>
      <c r="C337" t="s">
        <v>32</v>
      </c>
      <c r="D337" t="s">
        <v>22</v>
      </c>
      <c r="E337" t="s">
        <v>20</v>
      </c>
      <c r="F337" t="s">
        <v>29</v>
      </c>
      <c r="G337">
        <v>90624</v>
      </c>
      <c r="H337">
        <v>0</v>
      </c>
      <c r="I337">
        <v>28</v>
      </c>
      <c r="J337">
        <v>3</v>
      </c>
      <c r="K337">
        <v>4</v>
      </c>
      <c r="L337" s="1">
        <v>43275</v>
      </c>
      <c r="M337" s="1">
        <v>44640</v>
      </c>
      <c r="N337" t="s">
        <v>50</v>
      </c>
    </row>
    <row r="338" spans="1:14" x14ac:dyDescent="0.25">
      <c r="A338">
        <v>1337</v>
      </c>
      <c r="B338">
        <v>22</v>
      </c>
      <c r="C338" t="s">
        <v>31</v>
      </c>
      <c r="D338" t="s">
        <v>27</v>
      </c>
      <c r="E338" t="s">
        <v>20</v>
      </c>
      <c r="F338" t="s">
        <v>29</v>
      </c>
      <c r="G338">
        <v>82354</v>
      </c>
      <c r="H338">
        <v>26</v>
      </c>
      <c r="I338">
        <v>51</v>
      </c>
      <c r="J338">
        <v>1</v>
      </c>
      <c r="K338">
        <v>3</v>
      </c>
      <c r="L338" s="1">
        <v>44639</v>
      </c>
      <c r="M338" s="1"/>
      <c r="N338" t="s">
        <v>49</v>
      </c>
    </row>
    <row r="339" spans="1:14" x14ac:dyDescent="0.25">
      <c r="A339">
        <v>1338</v>
      </c>
      <c r="B339">
        <v>26</v>
      </c>
      <c r="C339" t="s">
        <v>32</v>
      </c>
      <c r="D339" t="s">
        <v>13</v>
      </c>
      <c r="E339" t="s">
        <v>12</v>
      </c>
      <c r="F339" t="s">
        <v>26</v>
      </c>
      <c r="G339">
        <v>73121</v>
      </c>
      <c r="H339">
        <v>8</v>
      </c>
      <c r="I339">
        <v>10</v>
      </c>
      <c r="K339">
        <v>4</v>
      </c>
      <c r="L339" s="1">
        <v>45279</v>
      </c>
      <c r="M339" s="1"/>
      <c r="N339" t="s">
        <v>49</v>
      </c>
    </row>
    <row r="340" spans="1:14" x14ac:dyDescent="0.25">
      <c r="A340">
        <v>1339</v>
      </c>
      <c r="B340">
        <v>40</v>
      </c>
      <c r="C340" t="s">
        <v>32</v>
      </c>
      <c r="D340" t="s">
        <v>22</v>
      </c>
      <c r="E340" t="s">
        <v>20</v>
      </c>
      <c r="F340" t="s">
        <v>26</v>
      </c>
      <c r="G340">
        <v>105212</v>
      </c>
      <c r="H340">
        <v>22</v>
      </c>
      <c r="I340">
        <v>50</v>
      </c>
      <c r="K340">
        <v>4</v>
      </c>
      <c r="L340" s="1">
        <v>44009</v>
      </c>
      <c r="M340" s="1"/>
      <c r="N340" t="s">
        <v>49</v>
      </c>
    </row>
    <row r="341" spans="1:14" x14ac:dyDescent="0.25">
      <c r="A341">
        <v>1340</v>
      </c>
      <c r="B341">
        <v>40</v>
      </c>
      <c r="C341" t="s">
        <v>32</v>
      </c>
      <c r="D341" t="s">
        <v>27</v>
      </c>
      <c r="E341" t="s">
        <v>28</v>
      </c>
      <c r="F341" t="s">
        <v>29</v>
      </c>
      <c r="G341">
        <v>91066</v>
      </c>
      <c r="H341">
        <v>19</v>
      </c>
      <c r="I341">
        <v>11</v>
      </c>
      <c r="J341">
        <v>4</v>
      </c>
      <c r="K341">
        <v>7</v>
      </c>
      <c r="L341" s="1">
        <v>42678</v>
      </c>
      <c r="M341" s="1"/>
      <c r="N341" t="s">
        <v>49</v>
      </c>
    </row>
    <row r="342" spans="1:14" x14ac:dyDescent="0.25">
      <c r="A342">
        <v>1341</v>
      </c>
      <c r="B342">
        <v>26</v>
      </c>
      <c r="C342" t="s">
        <v>32</v>
      </c>
      <c r="D342" t="s">
        <v>23</v>
      </c>
      <c r="E342" t="s">
        <v>28</v>
      </c>
      <c r="F342" t="s">
        <v>26</v>
      </c>
      <c r="G342">
        <v>55008</v>
      </c>
      <c r="H342">
        <v>30</v>
      </c>
      <c r="I342">
        <v>33</v>
      </c>
      <c r="J342">
        <v>2</v>
      </c>
      <c r="K342">
        <v>9</v>
      </c>
      <c r="L342" s="1">
        <v>42617</v>
      </c>
      <c r="M342" s="1"/>
      <c r="N342" t="s">
        <v>49</v>
      </c>
    </row>
    <row r="343" spans="1:14" x14ac:dyDescent="0.25">
      <c r="A343">
        <v>1342</v>
      </c>
      <c r="B343">
        <v>44</v>
      </c>
      <c r="C343" t="s">
        <v>31</v>
      </c>
      <c r="D343" t="s">
        <v>27</v>
      </c>
      <c r="E343" t="s">
        <v>14</v>
      </c>
      <c r="F343" t="s">
        <v>21</v>
      </c>
      <c r="G343">
        <v>92861</v>
      </c>
      <c r="H343">
        <v>18</v>
      </c>
      <c r="I343">
        <v>20</v>
      </c>
      <c r="J343">
        <v>3</v>
      </c>
      <c r="K343">
        <v>5</v>
      </c>
      <c r="L343" s="1">
        <v>44685</v>
      </c>
      <c r="M343" s="1"/>
      <c r="N343" t="s">
        <v>49</v>
      </c>
    </row>
    <row r="344" spans="1:14" x14ac:dyDescent="0.25">
      <c r="A344">
        <v>1343</v>
      </c>
      <c r="B344">
        <v>39</v>
      </c>
      <c r="C344" t="s">
        <v>32</v>
      </c>
      <c r="D344" t="s">
        <v>19</v>
      </c>
      <c r="E344" t="s">
        <v>12</v>
      </c>
      <c r="F344" t="s">
        <v>26</v>
      </c>
      <c r="G344">
        <v>45047</v>
      </c>
      <c r="H344">
        <v>11</v>
      </c>
      <c r="I344">
        <v>60</v>
      </c>
      <c r="J344">
        <v>2</v>
      </c>
      <c r="K344">
        <v>10</v>
      </c>
      <c r="L344" s="1">
        <v>44305</v>
      </c>
      <c r="M344" s="1">
        <v>43211</v>
      </c>
      <c r="N344" t="s">
        <v>50</v>
      </c>
    </row>
    <row r="345" spans="1:14" x14ac:dyDescent="0.25">
      <c r="A345">
        <v>1344</v>
      </c>
      <c r="B345">
        <v>37</v>
      </c>
      <c r="C345" t="s">
        <v>32</v>
      </c>
      <c r="D345" t="s">
        <v>13</v>
      </c>
      <c r="E345" t="s">
        <v>12</v>
      </c>
      <c r="F345" t="s">
        <v>26</v>
      </c>
      <c r="G345">
        <v>64286</v>
      </c>
      <c r="H345">
        <v>29</v>
      </c>
      <c r="I345">
        <v>60</v>
      </c>
      <c r="J345">
        <v>3</v>
      </c>
      <c r="K345">
        <v>10</v>
      </c>
      <c r="L345" s="1">
        <v>44476</v>
      </c>
      <c r="M345" s="1">
        <v>43231</v>
      </c>
      <c r="N345" t="s">
        <v>50</v>
      </c>
    </row>
    <row r="346" spans="1:14" x14ac:dyDescent="0.25">
      <c r="A346">
        <v>1345</v>
      </c>
      <c r="B346">
        <v>44</v>
      </c>
      <c r="C346" t="s">
        <v>32</v>
      </c>
      <c r="D346" t="s">
        <v>22</v>
      </c>
      <c r="E346" t="s">
        <v>20</v>
      </c>
      <c r="F346" t="s">
        <v>21</v>
      </c>
      <c r="G346">
        <v>89826</v>
      </c>
      <c r="H346">
        <v>6</v>
      </c>
      <c r="I346">
        <v>52</v>
      </c>
      <c r="K346">
        <v>10</v>
      </c>
      <c r="L346" s="1">
        <v>42082</v>
      </c>
      <c r="M346" s="1"/>
      <c r="N346" t="s">
        <v>49</v>
      </c>
    </row>
    <row r="347" spans="1:14" x14ac:dyDescent="0.25">
      <c r="A347">
        <v>1346</v>
      </c>
      <c r="B347">
        <v>45</v>
      </c>
      <c r="C347" t="s">
        <v>32</v>
      </c>
      <c r="D347" t="s">
        <v>22</v>
      </c>
      <c r="E347" t="s">
        <v>20</v>
      </c>
      <c r="F347" t="s">
        <v>45</v>
      </c>
      <c r="G347">
        <v>83375</v>
      </c>
      <c r="H347">
        <v>21</v>
      </c>
      <c r="I347">
        <v>2</v>
      </c>
      <c r="J347">
        <v>1</v>
      </c>
      <c r="K347">
        <v>8</v>
      </c>
      <c r="L347" s="1">
        <v>42868</v>
      </c>
      <c r="M347" s="1"/>
      <c r="N347" t="s">
        <v>49</v>
      </c>
    </row>
    <row r="348" spans="1:14" x14ac:dyDescent="0.25">
      <c r="A348">
        <v>1347</v>
      </c>
      <c r="B348">
        <v>32</v>
      </c>
      <c r="C348" t="s">
        <v>31</v>
      </c>
      <c r="D348" t="s">
        <v>27</v>
      </c>
      <c r="E348" t="s">
        <v>25</v>
      </c>
      <c r="F348" t="s">
        <v>29</v>
      </c>
      <c r="G348">
        <v>70523</v>
      </c>
      <c r="H348">
        <v>11</v>
      </c>
      <c r="I348">
        <v>39</v>
      </c>
      <c r="J348">
        <v>2</v>
      </c>
      <c r="K348">
        <v>8</v>
      </c>
      <c r="L348" s="1">
        <v>44086</v>
      </c>
      <c r="M348" s="1"/>
      <c r="N348" t="s">
        <v>49</v>
      </c>
    </row>
    <row r="349" spans="1:14" x14ac:dyDescent="0.25">
      <c r="A349">
        <v>1348</v>
      </c>
      <c r="B349">
        <v>41</v>
      </c>
      <c r="C349" t="s">
        <v>32</v>
      </c>
      <c r="D349" t="s">
        <v>27</v>
      </c>
      <c r="E349" t="s">
        <v>12</v>
      </c>
      <c r="F349" t="s">
        <v>45</v>
      </c>
      <c r="G349">
        <v>80402</v>
      </c>
      <c r="H349">
        <v>2</v>
      </c>
      <c r="I349">
        <v>9</v>
      </c>
      <c r="J349">
        <v>4</v>
      </c>
      <c r="K349">
        <v>6</v>
      </c>
      <c r="L349" s="1">
        <v>45551</v>
      </c>
      <c r="M349" s="1">
        <v>43705</v>
      </c>
      <c r="N349" t="s">
        <v>50</v>
      </c>
    </row>
    <row r="350" spans="1:14" x14ac:dyDescent="0.25">
      <c r="A350">
        <v>1349</v>
      </c>
      <c r="B350">
        <v>38</v>
      </c>
      <c r="C350" t="s">
        <v>31</v>
      </c>
      <c r="D350" t="s">
        <v>27</v>
      </c>
      <c r="E350" t="s">
        <v>12</v>
      </c>
      <c r="F350" t="s">
        <v>17</v>
      </c>
      <c r="G350">
        <v>81920</v>
      </c>
      <c r="H350">
        <v>3</v>
      </c>
      <c r="I350">
        <v>37</v>
      </c>
      <c r="J350">
        <v>4</v>
      </c>
      <c r="K350">
        <v>4</v>
      </c>
      <c r="L350" s="1">
        <v>43542</v>
      </c>
      <c r="M350" s="1">
        <v>42877</v>
      </c>
      <c r="N350" t="s">
        <v>50</v>
      </c>
    </row>
    <row r="351" spans="1:14" x14ac:dyDescent="0.25">
      <c r="A351">
        <v>1350</v>
      </c>
      <c r="B351">
        <v>31</v>
      </c>
      <c r="C351" t="s">
        <v>31</v>
      </c>
      <c r="D351" t="s">
        <v>27</v>
      </c>
      <c r="E351" t="s">
        <v>28</v>
      </c>
      <c r="F351" t="s">
        <v>18</v>
      </c>
      <c r="G351">
        <v>48712</v>
      </c>
      <c r="H351">
        <v>3</v>
      </c>
      <c r="I351">
        <v>50</v>
      </c>
      <c r="J351">
        <v>3</v>
      </c>
      <c r="K351">
        <v>9</v>
      </c>
      <c r="L351" s="1">
        <v>44525</v>
      </c>
      <c r="M351" s="1">
        <v>42569</v>
      </c>
      <c r="N351" t="s">
        <v>50</v>
      </c>
    </row>
    <row r="352" spans="1:14" x14ac:dyDescent="0.25">
      <c r="A352">
        <v>1351</v>
      </c>
      <c r="B352">
        <v>23</v>
      </c>
      <c r="C352" t="s">
        <v>31</v>
      </c>
      <c r="D352" t="s">
        <v>27</v>
      </c>
      <c r="E352" t="s">
        <v>25</v>
      </c>
      <c r="F352" t="s">
        <v>17</v>
      </c>
      <c r="G352">
        <v>51210</v>
      </c>
      <c r="H352">
        <v>16</v>
      </c>
      <c r="I352">
        <v>42</v>
      </c>
      <c r="J352">
        <v>3</v>
      </c>
      <c r="K352">
        <v>4</v>
      </c>
      <c r="L352" s="1">
        <v>43997</v>
      </c>
      <c r="M352" s="1"/>
      <c r="N352" t="s">
        <v>49</v>
      </c>
    </row>
    <row r="353" spans="1:14" x14ac:dyDescent="0.25">
      <c r="A353">
        <v>1352</v>
      </c>
      <c r="B353">
        <v>34</v>
      </c>
      <c r="C353" t="s">
        <v>31</v>
      </c>
      <c r="D353" t="s">
        <v>22</v>
      </c>
      <c r="E353" t="s">
        <v>12</v>
      </c>
      <c r="F353" t="s">
        <v>45</v>
      </c>
      <c r="G353">
        <v>75665</v>
      </c>
      <c r="H353">
        <v>13</v>
      </c>
      <c r="I353">
        <v>32</v>
      </c>
      <c r="K353">
        <v>3</v>
      </c>
      <c r="L353" s="1">
        <v>42949</v>
      </c>
      <c r="M353" s="1"/>
      <c r="N353" t="s">
        <v>49</v>
      </c>
    </row>
    <row r="354" spans="1:14" x14ac:dyDescent="0.25">
      <c r="A354">
        <v>1353</v>
      </c>
      <c r="B354">
        <v>32</v>
      </c>
      <c r="C354" t="s">
        <v>31</v>
      </c>
      <c r="D354" t="s">
        <v>13</v>
      </c>
      <c r="E354" t="s">
        <v>12</v>
      </c>
      <c r="F354" t="s">
        <v>18</v>
      </c>
      <c r="G354">
        <v>96210</v>
      </c>
      <c r="H354">
        <v>7</v>
      </c>
      <c r="I354">
        <v>60</v>
      </c>
      <c r="J354">
        <v>2</v>
      </c>
      <c r="K354">
        <v>5</v>
      </c>
      <c r="L354" s="1">
        <v>44961</v>
      </c>
      <c r="M354" s="1"/>
      <c r="N354" t="s">
        <v>49</v>
      </c>
    </row>
    <row r="355" spans="1:14" x14ac:dyDescent="0.25">
      <c r="A355">
        <v>1354</v>
      </c>
      <c r="B355">
        <v>54</v>
      </c>
      <c r="C355" t="s">
        <v>32</v>
      </c>
      <c r="D355" t="s">
        <v>22</v>
      </c>
      <c r="E355" t="s">
        <v>12</v>
      </c>
      <c r="F355" t="s">
        <v>18</v>
      </c>
      <c r="G355">
        <v>56179</v>
      </c>
      <c r="H355">
        <v>0</v>
      </c>
      <c r="I355">
        <v>22</v>
      </c>
      <c r="J355">
        <v>5</v>
      </c>
      <c r="K355">
        <v>7</v>
      </c>
      <c r="L355" s="1">
        <v>44538</v>
      </c>
      <c r="M355" s="1">
        <v>45287</v>
      </c>
      <c r="N355" t="s">
        <v>50</v>
      </c>
    </row>
    <row r="356" spans="1:14" x14ac:dyDescent="0.25">
      <c r="A356">
        <v>1355</v>
      </c>
      <c r="B356">
        <v>57</v>
      </c>
      <c r="C356" t="s">
        <v>32</v>
      </c>
      <c r="D356" t="s">
        <v>27</v>
      </c>
      <c r="E356" t="s">
        <v>12</v>
      </c>
      <c r="F356" t="s">
        <v>15</v>
      </c>
      <c r="G356">
        <v>84192</v>
      </c>
      <c r="H356">
        <v>25</v>
      </c>
      <c r="I356">
        <v>56</v>
      </c>
      <c r="J356">
        <v>2</v>
      </c>
      <c r="K356">
        <v>7</v>
      </c>
      <c r="L356" s="1">
        <v>45159</v>
      </c>
      <c r="M356" s="1"/>
      <c r="N356" t="s">
        <v>49</v>
      </c>
    </row>
    <row r="357" spans="1:14" x14ac:dyDescent="0.25">
      <c r="A357">
        <v>1356</v>
      </c>
      <c r="B357">
        <v>26</v>
      </c>
      <c r="C357" t="s">
        <v>31</v>
      </c>
      <c r="D357" t="s">
        <v>27</v>
      </c>
      <c r="E357" t="s">
        <v>12</v>
      </c>
      <c r="F357" t="s">
        <v>17</v>
      </c>
      <c r="G357">
        <v>51649</v>
      </c>
      <c r="H357">
        <v>15</v>
      </c>
      <c r="I357">
        <v>43</v>
      </c>
      <c r="J357">
        <v>1</v>
      </c>
      <c r="K357">
        <v>6</v>
      </c>
      <c r="L357" s="1">
        <v>42679</v>
      </c>
      <c r="M357" s="1"/>
      <c r="N357" t="s">
        <v>49</v>
      </c>
    </row>
    <row r="358" spans="1:14" x14ac:dyDescent="0.25">
      <c r="A358">
        <v>1357</v>
      </c>
      <c r="B358">
        <v>21</v>
      </c>
      <c r="C358" t="s">
        <v>32</v>
      </c>
      <c r="D358" t="s">
        <v>16</v>
      </c>
      <c r="E358" t="s">
        <v>25</v>
      </c>
      <c r="F358" t="s">
        <v>45</v>
      </c>
      <c r="G358">
        <v>99820</v>
      </c>
      <c r="H358">
        <v>19</v>
      </c>
      <c r="I358">
        <v>19</v>
      </c>
      <c r="J358">
        <v>5</v>
      </c>
      <c r="K358">
        <v>10</v>
      </c>
      <c r="L358" s="1">
        <v>44634</v>
      </c>
      <c r="M358" s="1"/>
      <c r="N358" t="s">
        <v>49</v>
      </c>
    </row>
    <row r="359" spans="1:14" x14ac:dyDescent="0.25">
      <c r="A359">
        <v>1358</v>
      </c>
      <c r="B359">
        <v>31</v>
      </c>
      <c r="C359" t="s">
        <v>32</v>
      </c>
      <c r="D359" t="s">
        <v>19</v>
      </c>
      <c r="E359" t="s">
        <v>25</v>
      </c>
      <c r="F359" t="s">
        <v>26</v>
      </c>
      <c r="G359">
        <v>84452</v>
      </c>
      <c r="H359">
        <v>23</v>
      </c>
      <c r="I359">
        <v>45</v>
      </c>
      <c r="J359">
        <v>2</v>
      </c>
      <c r="K359">
        <v>6</v>
      </c>
      <c r="L359" s="1">
        <v>45506</v>
      </c>
      <c r="M359" s="1">
        <v>43199</v>
      </c>
      <c r="N359" t="s">
        <v>50</v>
      </c>
    </row>
    <row r="360" spans="1:14" x14ac:dyDescent="0.25">
      <c r="A360">
        <v>1359</v>
      </c>
      <c r="B360">
        <v>48</v>
      </c>
      <c r="C360" t="s">
        <v>31</v>
      </c>
      <c r="D360" t="s">
        <v>13</v>
      </c>
      <c r="E360" t="s">
        <v>25</v>
      </c>
      <c r="F360" t="s">
        <v>29</v>
      </c>
      <c r="G360">
        <v>46742</v>
      </c>
      <c r="H360">
        <v>10</v>
      </c>
      <c r="I360">
        <v>2</v>
      </c>
      <c r="K360">
        <v>7</v>
      </c>
      <c r="L360" s="1">
        <v>42557</v>
      </c>
      <c r="M360" s="1">
        <v>45537</v>
      </c>
      <c r="N360" t="s">
        <v>50</v>
      </c>
    </row>
    <row r="361" spans="1:14" x14ac:dyDescent="0.25">
      <c r="A361">
        <v>1360</v>
      </c>
      <c r="B361">
        <v>26</v>
      </c>
      <c r="C361" t="s">
        <v>32</v>
      </c>
      <c r="D361" t="s">
        <v>13</v>
      </c>
      <c r="E361" t="s">
        <v>14</v>
      </c>
      <c r="F361" t="s">
        <v>26</v>
      </c>
      <c r="G361">
        <v>59828</v>
      </c>
      <c r="H361">
        <v>10</v>
      </c>
      <c r="I361">
        <v>4</v>
      </c>
      <c r="K361">
        <v>9</v>
      </c>
      <c r="L361" s="1">
        <v>42071</v>
      </c>
      <c r="M361" s="1">
        <v>42894</v>
      </c>
      <c r="N361" t="s">
        <v>50</v>
      </c>
    </row>
    <row r="362" spans="1:14" x14ac:dyDescent="0.25">
      <c r="A362">
        <v>1361</v>
      </c>
      <c r="B362">
        <v>39</v>
      </c>
      <c r="C362" t="s">
        <v>32</v>
      </c>
      <c r="D362" t="s">
        <v>23</v>
      </c>
      <c r="E362" t="s">
        <v>20</v>
      </c>
      <c r="F362" t="s">
        <v>18</v>
      </c>
      <c r="G362">
        <v>64580</v>
      </c>
      <c r="H362">
        <v>26</v>
      </c>
      <c r="I362">
        <v>50</v>
      </c>
      <c r="K362">
        <v>3</v>
      </c>
      <c r="L362" s="1">
        <v>44770</v>
      </c>
      <c r="M362" s="1"/>
      <c r="N362" t="s">
        <v>49</v>
      </c>
    </row>
    <row r="363" spans="1:14" x14ac:dyDescent="0.25">
      <c r="A363">
        <v>1362</v>
      </c>
      <c r="B363">
        <v>44</v>
      </c>
      <c r="C363" t="s">
        <v>31</v>
      </c>
      <c r="D363" t="s">
        <v>22</v>
      </c>
      <c r="E363" t="s">
        <v>12</v>
      </c>
      <c r="F363" t="s">
        <v>29</v>
      </c>
      <c r="G363">
        <v>81261</v>
      </c>
      <c r="H363">
        <v>28</v>
      </c>
      <c r="I363">
        <v>57</v>
      </c>
      <c r="K363">
        <v>9</v>
      </c>
      <c r="L363" s="1">
        <v>42686</v>
      </c>
      <c r="M363" s="1"/>
      <c r="N363" t="s">
        <v>49</v>
      </c>
    </row>
    <row r="364" spans="1:14" x14ac:dyDescent="0.25">
      <c r="A364">
        <v>1363</v>
      </c>
      <c r="B364">
        <v>59</v>
      </c>
      <c r="C364" t="s">
        <v>32</v>
      </c>
      <c r="D364" t="s">
        <v>22</v>
      </c>
      <c r="E364" t="s">
        <v>12</v>
      </c>
      <c r="F364" t="s">
        <v>26</v>
      </c>
      <c r="G364">
        <v>82416</v>
      </c>
      <c r="H364">
        <v>6</v>
      </c>
      <c r="I364">
        <v>39</v>
      </c>
      <c r="K364">
        <v>3</v>
      </c>
      <c r="L364" s="1">
        <v>44994</v>
      </c>
      <c r="M364" s="1"/>
      <c r="N364" t="s">
        <v>49</v>
      </c>
    </row>
    <row r="365" spans="1:14" x14ac:dyDescent="0.25">
      <c r="A365">
        <v>1364</v>
      </c>
      <c r="B365">
        <v>21</v>
      </c>
      <c r="C365" t="s">
        <v>32</v>
      </c>
      <c r="D365" t="s">
        <v>27</v>
      </c>
      <c r="E365" t="s">
        <v>14</v>
      </c>
      <c r="F365" t="s">
        <v>29</v>
      </c>
      <c r="G365">
        <v>64998</v>
      </c>
      <c r="H365">
        <v>19</v>
      </c>
      <c r="I365">
        <v>4</v>
      </c>
      <c r="J365">
        <v>4</v>
      </c>
      <c r="K365">
        <v>7</v>
      </c>
      <c r="L365" s="1">
        <v>42456</v>
      </c>
      <c r="M365" s="1"/>
      <c r="N365" t="s">
        <v>49</v>
      </c>
    </row>
    <row r="366" spans="1:14" x14ac:dyDescent="0.25">
      <c r="A366">
        <v>1365</v>
      </c>
      <c r="B366">
        <v>22</v>
      </c>
      <c r="C366" t="s">
        <v>32</v>
      </c>
      <c r="D366" t="s">
        <v>23</v>
      </c>
      <c r="E366" t="s">
        <v>25</v>
      </c>
      <c r="F366" t="s">
        <v>29</v>
      </c>
      <c r="G366">
        <v>68745</v>
      </c>
      <c r="H366">
        <v>12</v>
      </c>
      <c r="I366">
        <v>12</v>
      </c>
      <c r="J366">
        <v>5</v>
      </c>
      <c r="K366">
        <v>1</v>
      </c>
      <c r="L366" s="1">
        <v>42038</v>
      </c>
      <c r="M366" s="1"/>
      <c r="N366" t="s">
        <v>49</v>
      </c>
    </row>
    <row r="367" spans="1:14" x14ac:dyDescent="0.25">
      <c r="A367">
        <v>1366</v>
      </c>
      <c r="B367">
        <v>38</v>
      </c>
      <c r="C367" t="s">
        <v>31</v>
      </c>
      <c r="D367" t="s">
        <v>23</v>
      </c>
      <c r="E367" t="s">
        <v>12</v>
      </c>
      <c r="F367" t="s">
        <v>45</v>
      </c>
      <c r="G367">
        <v>104048</v>
      </c>
      <c r="H367">
        <v>4</v>
      </c>
      <c r="I367">
        <v>57</v>
      </c>
      <c r="J367">
        <v>5</v>
      </c>
      <c r="K367">
        <v>4</v>
      </c>
      <c r="L367" s="1">
        <v>43014</v>
      </c>
      <c r="M367" s="1"/>
      <c r="N367" t="s">
        <v>49</v>
      </c>
    </row>
    <row r="368" spans="1:14" x14ac:dyDescent="0.25">
      <c r="A368">
        <v>1367</v>
      </c>
      <c r="B368">
        <v>36</v>
      </c>
      <c r="C368" t="s">
        <v>31</v>
      </c>
      <c r="D368" t="s">
        <v>22</v>
      </c>
      <c r="E368" t="s">
        <v>25</v>
      </c>
      <c r="F368" t="s">
        <v>45</v>
      </c>
      <c r="G368">
        <v>83359</v>
      </c>
      <c r="H368">
        <v>26</v>
      </c>
      <c r="I368">
        <v>13</v>
      </c>
      <c r="J368">
        <v>3</v>
      </c>
      <c r="K368">
        <v>3</v>
      </c>
      <c r="L368" s="1">
        <v>42029</v>
      </c>
      <c r="M368" s="1">
        <v>43236</v>
      </c>
      <c r="N368" t="s">
        <v>50</v>
      </c>
    </row>
    <row r="369" spans="1:14" x14ac:dyDescent="0.25">
      <c r="A369">
        <v>1368</v>
      </c>
      <c r="B369">
        <v>22</v>
      </c>
      <c r="C369" t="s">
        <v>32</v>
      </c>
      <c r="D369" t="s">
        <v>27</v>
      </c>
      <c r="E369" t="s">
        <v>12</v>
      </c>
      <c r="F369" t="s">
        <v>26</v>
      </c>
      <c r="G369">
        <v>50874</v>
      </c>
      <c r="H369">
        <v>23</v>
      </c>
      <c r="I369">
        <v>31</v>
      </c>
      <c r="K369">
        <v>1</v>
      </c>
      <c r="L369" s="1">
        <v>44029</v>
      </c>
      <c r="M369" s="1"/>
      <c r="N369" t="s">
        <v>49</v>
      </c>
    </row>
    <row r="370" spans="1:14" x14ac:dyDescent="0.25">
      <c r="A370">
        <v>1369</v>
      </c>
      <c r="B370">
        <v>51</v>
      </c>
      <c r="C370" t="s">
        <v>32</v>
      </c>
      <c r="D370" t="s">
        <v>13</v>
      </c>
      <c r="E370" t="s">
        <v>12</v>
      </c>
      <c r="F370" t="s">
        <v>21</v>
      </c>
      <c r="G370">
        <v>56701</v>
      </c>
      <c r="H370">
        <v>9</v>
      </c>
      <c r="I370">
        <v>58</v>
      </c>
      <c r="K370">
        <v>3</v>
      </c>
      <c r="L370" s="1">
        <v>42591</v>
      </c>
      <c r="M370" s="1">
        <v>43944</v>
      </c>
      <c r="N370" t="s">
        <v>50</v>
      </c>
    </row>
    <row r="371" spans="1:14" x14ac:dyDescent="0.25">
      <c r="A371">
        <v>1370</v>
      </c>
      <c r="B371">
        <v>50</v>
      </c>
      <c r="C371" t="s">
        <v>31</v>
      </c>
      <c r="D371" t="s">
        <v>22</v>
      </c>
      <c r="E371" t="s">
        <v>14</v>
      </c>
      <c r="F371" t="s">
        <v>29</v>
      </c>
      <c r="G371">
        <v>50020</v>
      </c>
      <c r="H371">
        <v>27</v>
      </c>
      <c r="I371">
        <v>59</v>
      </c>
      <c r="J371">
        <v>4</v>
      </c>
      <c r="K371">
        <v>8</v>
      </c>
      <c r="L371" s="1">
        <v>42284</v>
      </c>
      <c r="M371" s="1"/>
      <c r="N371" t="s">
        <v>49</v>
      </c>
    </row>
    <row r="372" spans="1:14" x14ac:dyDescent="0.25">
      <c r="A372">
        <v>1371</v>
      </c>
      <c r="B372">
        <v>31</v>
      </c>
      <c r="C372" t="s">
        <v>31</v>
      </c>
      <c r="D372" t="s">
        <v>22</v>
      </c>
      <c r="E372" t="s">
        <v>12</v>
      </c>
      <c r="F372" t="s">
        <v>21</v>
      </c>
      <c r="G372">
        <v>87071</v>
      </c>
      <c r="H372">
        <v>7</v>
      </c>
      <c r="I372">
        <v>10</v>
      </c>
      <c r="J372">
        <v>4</v>
      </c>
      <c r="K372">
        <v>8</v>
      </c>
      <c r="L372" s="1">
        <v>43533</v>
      </c>
      <c r="M372" s="1"/>
      <c r="N372" t="s">
        <v>49</v>
      </c>
    </row>
    <row r="373" spans="1:14" x14ac:dyDescent="0.25">
      <c r="A373">
        <v>1372</v>
      </c>
      <c r="B373">
        <v>51</v>
      </c>
      <c r="C373" t="s">
        <v>32</v>
      </c>
      <c r="D373" t="s">
        <v>27</v>
      </c>
      <c r="E373" t="s">
        <v>25</v>
      </c>
      <c r="F373" t="s">
        <v>15</v>
      </c>
      <c r="G373">
        <v>104355</v>
      </c>
      <c r="H373">
        <v>6</v>
      </c>
      <c r="I373">
        <v>12</v>
      </c>
      <c r="J373">
        <v>5</v>
      </c>
      <c r="K373">
        <v>7</v>
      </c>
      <c r="L373" s="1">
        <v>42465</v>
      </c>
      <c r="M373" s="1"/>
      <c r="N373" t="s">
        <v>49</v>
      </c>
    </row>
    <row r="374" spans="1:14" x14ac:dyDescent="0.25">
      <c r="A374">
        <v>1373</v>
      </c>
      <c r="B374">
        <v>51</v>
      </c>
      <c r="C374" t="s">
        <v>31</v>
      </c>
      <c r="D374" t="s">
        <v>13</v>
      </c>
      <c r="E374" t="s">
        <v>28</v>
      </c>
      <c r="F374" t="s">
        <v>21</v>
      </c>
      <c r="G374">
        <v>72933</v>
      </c>
      <c r="H374">
        <v>7</v>
      </c>
      <c r="I374">
        <v>4</v>
      </c>
      <c r="K374">
        <v>7</v>
      </c>
      <c r="L374" s="1">
        <v>45421</v>
      </c>
      <c r="M374" s="1"/>
      <c r="N374" t="s">
        <v>49</v>
      </c>
    </row>
    <row r="375" spans="1:14" x14ac:dyDescent="0.25">
      <c r="A375">
        <v>1374</v>
      </c>
      <c r="B375">
        <v>58</v>
      </c>
      <c r="C375" t="s">
        <v>32</v>
      </c>
      <c r="D375" t="s">
        <v>27</v>
      </c>
      <c r="E375" t="s">
        <v>12</v>
      </c>
      <c r="F375" t="s">
        <v>18</v>
      </c>
      <c r="G375">
        <v>104878</v>
      </c>
      <c r="H375">
        <v>1</v>
      </c>
      <c r="I375">
        <v>8</v>
      </c>
      <c r="J375">
        <v>5</v>
      </c>
      <c r="K375">
        <v>1</v>
      </c>
      <c r="L375" s="1">
        <v>42536</v>
      </c>
      <c r="M375" s="1"/>
      <c r="N375" t="s">
        <v>49</v>
      </c>
    </row>
    <row r="376" spans="1:14" x14ac:dyDescent="0.25">
      <c r="A376">
        <v>1375</v>
      </c>
      <c r="B376">
        <v>34</v>
      </c>
      <c r="C376" t="s">
        <v>31</v>
      </c>
      <c r="D376" t="s">
        <v>27</v>
      </c>
      <c r="E376" t="s">
        <v>20</v>
      </c>
      <c r="F376" t="s">
        <v>15</v>
      </c>
      <c r="G376">
        <v>58164</v>
      </c>
      <c r="H376">
        <v>17</v>
      </c>
      <c r="I376">
        <v>58</v>
      </c>
      <c r="J376">
        <v>2</v>
      </c>
      <c r="K376">
        <v>2</v>
      </c>
      <c r="L376" s="1">
        <v>42440</v>
      </c>
      <c r="M376" s="1"/>
      <c r="N376" t="s">
        <v>49</v>
      </c>
    </row>
    <row r="377" spans="1:14" x14ac:dyDescent="0.25">
      <c r="A377">
        <v>1376</v>
      </c>
      <c r="B377">
        <v>46</v>
      </c>
      <c r="C377" t="s">
        <v>32</v>
      </c>
      <c r="D377" t="s">
        <v>22</v>
      </c>
      <c r="E377" t="s">
        <v>12</v>
      </c>
      <c r="F377" t="s">
        <v>21</v>
      </c>
      <c r="G377">
        <v>85013</v>
      </c>
      <c r="H377">
        <v>22</v>
      </c>
      <c r="I377">
        <v>34</v>
      </c>
      <c r="J377">
        <v>4</v>
      </c>
      <c r="K377">
        <v>6</v>
      </c>
      <c r="L377" s="1">
        <v>43548</v>
      </c>
      <c r="M377" s="1"/>
      <c r="N377" t="s">
        <v>49</v>
      </c>
    </row>
    <row r="378" spans="1:14" x14ac:dyDescent="0.25">
      <c r="A378">
        <v>1377</v>
      </c>
      <c r="B378">
        <v>43</v>
      </c>
      <c r="C378" t="s">
        <v>32</v>
      </c>
      <c r="D378" t="s">
        <v>23</v>
      </c>
      <c r="E378" t="s">
        <v>25</v>
      </c>
      <c r="F378" t="s">
        <v>17</v>
      </c>
      <c r="G378">
        <v>85719</v>
      </c>
      <c r="H378">
        <v>13</v>
      </c>
      <c r="I378">
        <v>41</v>
      </c>
      <c r="J378">
        <v>3</v>
      </c>
      <c r="K378">
        <v>3</v>
      </c>
      <c r="L378" s="1">
        <v>42690</v>
      </c>
      <c r="M378" s="1"/>
      <c r="N378" t="s">
        <v>49</v>
      </c>
    </row>
    <row r="379" spans="1:14" x14ac:dyDescent="0.25">
      <c r="A379">
        <v>1378</v>
      </c>
      <c r="B379">
        <v>60</v>
      </c>
      <c r="C379" t="s">
        <v>32</v>
      </c>
      <c r="D379" t="s">
        <v>19</v>
      </c>
      <c r="E379" t="s">
        <v>28</v>
      </c>
      <c r="F379" t="s">
        <v>29</v>
      </c>
      <c r="G379">
        <v>49628</v>
      </c>
      <c r="H379">
        <v>30</v>
      </c>
      <c r="I379">
        <v>46</v>
      </c>
      <c r="J379">
        <v>4</v>
      </c>
      <c r="K379">
        <v>3</v>
      </c>
      <c r="L379" s="1">
        <v>43965</v>
      </c>
      <c r="M379" s="1">
        <v>44475</v>
      </c>
      <c r="N379" t="s">
        <v>50</v>
      </c>
    </row>
    <row r="380" spans="1:14" x14ac:dyDescent="0.25">
      <c r="A380">
        <v>1379</v>
      </c>
      <c r="B380">
        <v>46</v>
      </c>
      <c r="C380" t="s">
        <v>31</v>
      </c>
      <c r="D380" t="s">
        <v>22</v>
      </c>
      <c r="E380" t="s">
        <v>25</v>
      </c>
      <c r="F380" t="s">
        <v>15</v>
      </c>
      <c r="G380">
        <v>107948</v>
      </c>
      <c r="H380">
        <v>14</v>
      </c>
      <c r="I380">
        <v>36</v>
      </c>
      <c r="J380">
        <v>3</v>
      </c>
      <c r="K380">
        <v>3</v>
      </c>
      <c r="L380" s="1">
        <v>45455</v>
      </c>
      <c r="M380" s="1"/>
      <c r="N380" t="s">
        <v>49</v>
      </c>
    </row>
    <row r="381" spans="1:14" x14ac:dyDescent="0.25">
      <c r="A381">
        <v>1380</v>
      </c>
      <c r="B381">
        <v>29</v>
      </c>
      <c r="C381" t="s">
        <v>31</v>
      </c>
      <c r="D381" t="s">
        <v>23</v>
      </c>
      <c r="E381" t="s">
        <v>12</v>
      </c>
      <c r="F381" t="s">
        <v>17</v>
      </c>
      <c r="G381">
        <v>86514</v>
      </c>
      <c r="H381">
        <v>8</v>
      </c>
      <c r="I381">
        <v>57</v>
      </c>
      <c r="J381">
        <v>3</v>
      </c>
      <c r="K381">
        <v>10</v>
      </c>
      <c r="L381" s="1">
        <v>44896</v>
      </c>
      <c r="M381" s="1">
        <v>44459</v>
      </c>
      <c r="N381" t="s">
        <v>50</v>
      </c>
    </row>
    <row r="382" spans="1:14" x14ac:dyDescent="0.25">
      <c r="A382">
        <v>1381</v>
      </c>
      <c r="B382">
        <v>57</v>
      </c>
      <c r="C382" t="s">
        <v>32</v>
      </c>
      <c r="D382" t="s">
        <v>19</v>
      </c>
      <c r="E382" t="s">
        <v>14</v>
      </c>
      <c r="F382" t="s">
        <v>18</v>
      </c>
      <c r="G382">
        <v>81272</v>
      </c>
      <c r="H382">
        <v>25</v>
      </c>
      <c r="I382">
        <v>53</v>
      </c>
      <c r="J382">
        <v>1</v>
      </c>
      <c r="K382">
        <v>5</v>
      </c>
      <c r="L382" s="1">
        <v>43780</v>
      </c>
      <c r="M382" s="1">
        <v>43730</v>
      </c>
      <c r="N382" t="s">
        <v>50</v>
      </c>
    </row>
    <row r="383" spans="1:14" x14ac:dyDescent="0.25">
      <c r="A383">
        <v>1382</v>
      </c>
      <c r="B383">
        <v>43</v>
      </c>
      <c r="C383" t="s">
        <v>31</v>
      </c>
      <c r="D383" t="s">
        <v>23</v>
      </c>
      <c r="E383" t="s">
        <v>28</v>
      </c>
      <c r="F383" t="s">
        <v>15</v>
      </c>
      <c r="G383">
        <v>80562</v>
      </c>
      <c r="H383">
        <v>29</v>
      </c>
      <c r="I383">
        <v>13</v>
      </c>
      <c r="J383">
        <v>2</v>
      </c>
      <c r="K383">
        <v>5</v>
      </c>
      <c r="L383" s="1">
        <v>42345</v>
      </c>
      <c r="M383" s="1"/>
      <c r="N383" t="s">
        <v>49</v>
      </c>
    </row>
    <row r="384" spans="1:14" x14ac:dyDescent="0.25">
      <c r="A384">
        <v>1383</v>
      </c>
      <c r="B384">
        <v>34</v>
      </c>
      <c r="C384" t="s">
        <v>32</v>
      </c>
      <c r="D384" t="s">
        <v>23</v>
      </c>
      <c r="E384" t="s">
        <v>20</v>
      </c>
      <c r="F384" t="s">
        <v>29</v>
      </c>
      <c r="G384">
        <v>88953</v>
      </c>
      <c r="H384">
        <v>28</v>
      </c>
      <c r="I384">
        <v>57</v>
      </c>
      <c r="J384">
        <v>4</v>
      </c>
      <c r="K384">
        <v>1</v>
      </c>
      <c r="L384" s="1">
        <v>44047</v>
      </c>
      <c r="M384" s="1"/>
      <c r="N384" t="s">
        <v>49</v>
      </c>
    </row>
    <row r="385" spans="1:14" x14ac:dyDescent="0.25">
      <c r="A385">
        <v>1384</v>
      </c>
      <c r="B385">
        <v>49</v>
      </c>
      <c r="C385" t="s">
        <v>32</v>
      </c>
      <c r="D385" t="s">
        <v>22</v>
      </c>
      <c r="E385" t="s">
        <v>25</v>
      </c>
      <c r="F385" t="s">
        <v>17</v>
      </c>
      <c r="G385">
        <v>51743</v>
      </c>
      <c r="H385">
        <v>25</v>
      </c>
      <c r="I385">
        <v>7</v>
      </c>
      <c r="J385">
        <v>4</v>
      </c>
      <c r="K385">
        <v>10</v>
      </c>
      <c r="L385" s="1">
        <v>44249</v>
      </c>
      <c r="M385" s="1"/>
      <c r="N385" t="s">
        <v>49</v>
      </c>
    </row>
    <row r="386" spans="1:14" x14ac:dyDescent="0.25">
      <c r="A386">
        <v>1385</v>
      </c>
      <c r="B386">
        <v>42</v>
      </c>
      <c r="C386" t="s">
        <v>32</v>
      </c>
      <c r="D386" t="s">
        <v>19</v>
      </c>
      <c r="E386" t="s">
        <v>12</v>
      </c>
      <c r="F386" t="s">
        <v>15</v>
      </c>
      <c r="G386">
        <v>108942</v>
      </c>
      <c r="H386">
        <v>11</v>
      </c>
      <c r="I386">
        <v>57</v>
      </c>
      <c r="J386">
        <v>1</v>
      </c>
      <c r="K386">
        <v>2</v>
      </c>
      <c r="L386" s="1">
        <v>42829</v>
      </c>
      <c r="M386" s="1"/>
      <c r="N386" t="s">
        <v>49</v>
      </c>
    </row>
    <row r="387" spans="1:14" x14ac:dyDescent="0.25">
      <c r="A387">
        <v>1386</v>
      </c>
      <c r="B387">
        <v>54</v>
      </c>
      <c r="C387" t="s">
        <v>32</v>
      </c>
      <c r="D387" t="s">
        <v>19</v>
      </c>
      <c r="E387" t="s">
        <v>12</v>
      </c>
      <c r="F387" t="s">
        <v>26</v>
      </c>
      <c r="G387">
        <v>53788</v>
      </c>
      <c r="H387">
        <v>25</v>
      </c>
      <c r="I387">
        <v>2</v>
      </c>
      <c r="J387">
        <v>5</v>
      </c>
      <c r="K387">
        <v>2</v>
      </c>
      <c r="L387" s="1">
        <v>42110</v>
      </c>
      <c r="M387" s="1"/>
      <c r="N387" t="s">
        <v>49</v>
      </c>
    </row>
    <row r="388" spans="1:14" x14ac:dyDescent="0.25">
      <c r="A388">
        <v>1387</v>
      </c>
      <c r="B388">
        <v>21</v>
      </c>
      <c r="C388" t="s">
        <v>32</v>
      </c>
      <c r="D388" t="s">
        <v>23</v>
      </c>
      <c r="E388" t="s">
        <v>20</v>
      </c>
      <c r="F388" t="s">
        <v>18</v>
      </c>
      <c r="G388">
        <v>74760</v>
      </c>
      <c r="H388">
        <v>7</v>
      </c>
      <c r="I388">
        <v>35</v>
      </c>
      <c r="J388">
        <v>4</v>
      </c>
      <c r="K388">
        <v>10</v>
      </c>
      <c r="L388" s="1">
        <v>45247</v>
      </c>
      <c r="M388" s="1">
        <v>44293</v>
      </c>
      <c r="N388" t="s">
        <v>50</v>
      </c>
    </row>
    <row r="389" spans="1:14" x14ac:dyDescent="0.25">
      <c r="A389">
        <v>1388</v>
      </c>
      <c r="B389">
        <v>36</v>
      </c>
      <c r="C389" t="s">
        <v>31</v>
      </c>
      <c r="D389" t="s">
        <v>19</v>
      </c>
      <c r="E389" t="s">
        <v>25</v>
      </c>
      <c r="F389" t="s">
        <v>29</v>
      </c>
      <c r="G389">
        <v>81546</v>
      </c>
      <c r="H389">
        <v>11</v>
      </c>
      <c r="I389">
        <v>13</v>
      </c>
      <c r="K389">
        <v>4</v>
      </c>
      <c r="L389" s="1">
        <v>43581</v>
      </c>
      <c r="M389" s="1"/>
      <c r="N389" t="s">
        <v>49</v>
      </c>
    </row>
    <row r="390" spans="1:14" x14ac:dyDescent="0.25">
      <c r="A390">
        <v>1389</v>
      </c>
      <c r="B390">
        <v>39</v>
      </c>
      <c r="C390" t="s">
        <v>32</v>
      </c>
      <c r="D390" t="s">
        <v>16</v>
      </c>
      <c r="E390" t="s">
        <v>25</v>
      </c>
      <c r="F390" t="s">
        <v>21</v>
      </c>
      <c r="G390">
        <v>66016</v>
      </c>
      <c r="H390">
        <v>13</v>
      </c>
      <c r="I390">
        <v>22</v>
      </c>
      <c r="J390">
        <v>5</v>
      </c>
      <c r="K390">
        <v>4</v>
      </c>
      <c r="L390" s="1">
        <v>44993</v>
      </c>
      <c r="M390" s="1">
        <v>43401</v>
      </c>
      <c r="N390" t="s">
        <v>50</v>
      </c>
    </row>
    <row r="391" spans="1:14" x14ac:dyDescent="0.25">
      <c r="A391">
        <v>1390</v>
      </c>
      <c r="B391">
        <v>46</v>
      </c>
      <c r="C391" t="s">
        <v>31</v>
      </c>
      <c r="D391" t="s">
        <v>27</v>
      </c>
      <c r="E391" t="s">
        <v>20</v>
      </c>
      <c r="F391" t="s">
        <v>26</v>
      </c>
      <c r="G391">
        <v>93420</v>
      </c>
      <c r="H391">
        <v>3</v>
      </c>
      <c r="I391">
        <v>44</v>
      </c>
      <c r="J391">
        <v>1</v>
      </c>
      <c r="K391">
        <v>4</v>
      </c>
      <c r="L391" s="1">
        <v>42526</v>
      </c>
      <c r="M391" s="1">
        <v>43608</v>
      </c>
      <c r="N391" t="s">
        <v>50</v>
      </c>
    </row>
    <row r="392" spans="1:14" x14ac:dyDescent="0.25">
      <c r="A392">
        <v>1391</v>
      </c>
      <c r="B392">
        <v>26</v>
      </c>
      <c r="C392" t="s">
        <v>31</v>
      </c>
      <c r="D392" t="s">
        <v>19</v>
      </c>
      <c r="E392" t="s">
        <v>25</v>
      </c>
      <c r="F392" t="s">
        <v>21</v>
      </c>
      <c r="G392">
        <v>87569</v>
      </c>
      <c r="H392">
        <v>15</v>
      </c>
      <c r="I392">
        <v>27</v>
      </c>
      <c r="J392">
        <v>3</v>
      </c>
      <c r="K392">
        <v>2</v>
      </c>
      <c r="L392" s="1">
        <v>42280</v>
      </c>
      <c r="M392" s="1"/>
      <c r="N392" t="s">
        <v>49</v>
      </c>
    </row>
    <row r="393" spans="1:14" x14ac:dyDescent="0.25">
      <c r="A393">
        <v>1392</v>
      </c>
      <c r="B393">
        <v>48</v>
      </c>
      <c r="C393" t="s">
        <v>31</v>
      </c>
      <c r="D393" t="s">
        <v>19</v>
      </c>
      <c r="E393" t="s">
        <v>25</v>
      </c>
      <c r="F393" t="s">
        <v>26</v>
      </c>
      <c r="G393">
        <v>69513</v>
      </c>
      <c r="H393">
        <v>5</v>
      </c>
      <c r="I393">
        <v>37</v>
      </c>
      <c r="J393">
        <v>5</v>
      </c>
      <c r="K393">
        <v>4</v>
      </c>
      <c r="L393" s="1">
        <v>42622</v>
      </c>
      <c r="M393" s="1"/>
      <c r="N393" t="s">
        <v>49</v>
      </c>
    </row>
    <row r="394" spans="1:14" x14ac:dyDescent="0.25">
      <c r="A394">
        <v>1393</v>
      </c>
      <c r="B394">
        <v>22</v>
      </c>
      <c r="C394" t="s">
        <v>32</v>
      </c>
      <c r="D394" t="s">
        <v>27</v>
      </c>
      <c r="E394" t="s">
        <v>20</v>
      </c>
      <c r="F394" t="s">
        <v>17</v>
      </c>
      <c r="G394">
        <v>97377</v>
      </c>
      <c r="H394">
        <v>30</v>
      </c>
      <c r="I394">
        <v>18</v>
      </c>
      <c r="J394">
        <v>3</v>
      </c>
      <c r="K394">
        <v>10</v>
      </c>
      <c r="L394" s="1">
        <v>45469</v>
      </c>
      <c r="M394" s="1">
        <v>44938</v>
      </c>
      <c r="N394" t="s">
        <v>50</v>
      </c>
    </row>
    <row r="395" spans="1:14" x14ac:dyDescent="0.25">
      <c r="A395">
        <v>1394</v>
      </c>
      <c r="B395">
        <v>27</v>
      </c>
      <c r="C395" t="s">
        <v>32</v>
      </c>
      <c r="D395" t="s">
        <v>23</v>
      </c>
      <c r="E395" t="s">
        <v>25</v>
      </c>
      <c r="F395" t="s">
        <v>26</v>
      </c>
      <c r="G395">
        <v>72732</v>
      </c>
      <c r="H395">
        <v>26</v>
      </c>
      <c r="I395">
        <v>9</v>
      </c>
      <c r="J395">
        <v>5</v>
      </c>
      <c r="K395">
        <v>2</v>
      </c>
      <c r="L395" s="1">
        <v>43262</v>
      </c>
      <c r="M395" s="1"/>
      <c r="N395" t="s">
        <v>49</v>
      </c>
    </row>
    <row r="396" spans="1:14" x14ac:dyDescent="0.25">
      <c r="A396">
        <v>1395</v>
      </c>
      <c r="B396">
        <v>27</v>
      </c>
      <c r="C396" t="s">
        <v>32</v>
      </c>
      <c r="D396" t="s">
        <v>16</v>
      </c>
      <c r="E396" t="s">
        <v>28</v>
      </c>
      <c r="F396" t="s">
        <v>15</v>
      </c>
      <c r="G396">
        <v>53548</v>
      </c>
      <c r="H396">
        <v>21</v>
      </c>
      <c r="I396">
        <v>59</v>
      </c>
      <c r="K396">
        <v>2</v>
      </c>
      <c r="L396" s="1">
        <v>42836</v>
      </c>
      <c r="M396" s="1">
        <v>43902</v>
      </c>
      <c r="N396" t="s">
        <v>50</v>
      </c>
    </row>
    <row r="397" spans="1:14" x14ac:dyDescent="0.25">
      <c r="A397">
        <v>1396</v>
      </c>
      <c r="B397">
        <v>50</v>
      </c>
      <c r="C397" t="s">
        <v>32</v>
      </c>
      <c r="D397" t="s">
        <v>22</v>
      </c>
      <c r="E397" t="s">
        <v>12</v>
      </c>
      <c r="F397" t="s">
        <v>15</v>
      </c>
      <c r="G397">
        <v>77975</v>
      </c>
      <c r="H397">
        <v>22</v>
      </c>
      <c r="I397">
        <v>21</v>
      </c>
      <c r="J397">
        <v>1</v>
      </c>
      <c r="K397">
        <v>10</v>
      </c>
      <c r="L397" s="1">
        <v>42413</v>
      </c>
      <c r="M397" s="1">
        <v>44668</v>
      </c>
      <c r="N397" t="s">
        <v>50</v>
      </c>
    </row>
    <row r="398" spans="1:14" x14ac:dyDescent="0.25">
      <c r="A398">
        <v>1397</v>
      </c>
      <c r="B398">
        <v>40</v>
      </c>
      <c r="C398" t="s">
        <v>32</v>
      </c>
      <c r="D398" t="s">
        <v>27</v>
      </c>
      <c r="E398" t="s">
        <v>28</v>
      </c>
      <c r="F398" t="s">
        <v>15</v>
      </c>
      <c r="G398">
        <v>101852</v>
      </c>
      <c r="H398">
        <v>1</v>
      </c>
      <c r="I398">
        <v>10</v>
      </c>
      <c r="J398">
        <v>4</v>
      </c>
      <c r="K398">
        <v>4</v>
      </c>
      <c r="L398" s="1">
        <v>44543</v>
      </c>
      <c r="M398" s="1"/>
      <c r="N398" t="s">
        <v>49</v>
      </c>
    </row>
    <row r="399" spans="1:14" x14ac:dyDescent="0.25">
      <c r="A399">
        <v>1398</v>
      </c>
      <c r="B399">
        <v>52</v>
      </c>
      <c r="C399" t="s">
        <v>32</v>
      </c>
      <c r="D399" t="s">
        <v>22</v>
      </c>
      <c r="E399" t="s">
        <v>28</v>
      </c>
      <c r="F399" t="s">
        <v>15</v>
      </c>
      <c r="G399">
        <v>53850</v>
      </c>
      <c r="H399">
        <v>24</v>
      </c>
      <c r="I399">
        <v>5</v>
      </c>
      <c r="J399">
        <v>4</v>
      </c>
      <c r="K399">
        <v>9</v>
      </c>
      <c r="L399" s="1">
        <v>42344</v>
      </c>
      <c r="M399" s="1">
        <v>43126</v>
      </c>
      <c r="N399" t="s">
        <v>50</v>
      </c>
    </row>
    <row r="400" spans="1:14" x14ac:dyDescent="0.25">
      <c r="A400">
        <v>1399</v>
      </c>
      <c r="B400">
        <v>49</v>
      </c>
      <c r="C400" t="s">
        <v>32</v>
      </c>
      <c r="D400" t="s">
        <v>22</v>
      </c>
      <c r="E400" t="s">
        <v>20</v>
      </c>
      <c r="F400" t="s">
        <v>15</v>
      </c>
      <c r="G400">
        <v>92140</v>
      </c>
      <c r="H400">
        <v>16</v>
      </c>
      <c r="I400">
        <v>15</v>
      </c>
      <c r="J400">
        <v>3</v>
      </c>
      <c r="K400">
        <v>5</v>
      </c>
      <c r="L400" s="1">
        <v>43963</v>
      </c>
      <c r="M400" s="1">
        <v>44413</v>
      </c>
      <c r="N400" t="s">
        <v>50</v>
      </c>
    </row>
    <row r="401" spans="1:14" x14ac:dyDescent="0.25">
      <c r="A401">
        <v>1400</v>
      </c>
      <c r="B401">
        <v>29</v>
      </c>
      <c r="C401" t="s">
        <v>32</v>
      </c>
      <c r="D401" t="s">
        <v>22</v>
      </c>
      <c r="E401" t="s">
        <v>14</v>
      </c>
      <c r="F401" t="s">
        <v>26</v>
      </c>
      <c r="G401">
        <v>109025</v>
      </c>
      <c r="H401">
        <v>8</v>
      </c>
      <c r="I401">
        <v>21</v>
      </c>
      <c r="J401">
        <v>1</v>
      </c>
      <c r="K401">
        <v>4</v>
      </c>
      <c r="L401" s="1">
        <v>44000</v>
      </c>
      <c r="M401" s="1"/>
      <c r="N401" t="s">
        <v>49</v>
      </c>
    </row>
    <row r="402" spans="1:14" x14ac:dyDescent="0.25">
      <c r="A402">
        <v>1401</v>
      </c>
      <c r="B402">
        <v>44</v>
      </c>
      <c r="C402" t="s">
        <v>32</v>
      </c>
      <c r="D402" t="s">
        <v>22</v>
      </c>
      <c r="E402" t="s">
        <v>25</v>
      </c>
      <c r="F402" t="s">
        <v>21</v>
      </c>
      <c r="G402">
        <v>64124</v>
      </c>
      <c r="H402">
        <v>4</v>
      </c>
      <c r="I402">
        <v>40</v>
      </c>
      <c r="J402">
        <v>4</v>
      </c>
      <c r="K402">
        <v>4</v>
      </c>
      <c r="L402" s="1">
        <v>42564</v>
      </c>
      <c r="M402" s="1">
        <v>42597</v>
      </c>
      <c r="N402" t="s">
        <v>50</v>
      </c>
    </row>
    <row r="403" spans="1:14" x14ac:dyDescent="0.25">
      <c r="A403">
        <v>1402</v>
      </c>
      <c r="B403">
        <v>28</v>
      </c>
      <c r="C403" t="s">
        <v>31</v>
      </c>
      <c r="D403" t="s">
        <v>22</v>
      </c>
      <c r="E403" t="s">
        <v>12</v>
      </c>
      <c r="F403" t="s">
        <v>26</v>
      </c>
      <c r="G403">
        <v>108818</v>
      </c>
      <c r="H403">
        <v>12</v>
      </c>
      <c r="I403">
        <v>3</v>
      </c>
      <c r="J403">
        <v>3</v>
      </c>
      <c r="K403">
        <v>4</v>
      </c>
      <c r="L403" s="1">
        <v>43784</v>
      </c>
      <c r="M403" s="1"/>
      <c r="N403" t="s">
        <v>49</v>
      </c>
    </row>
    <row r="404" spans="1:14" x14ac:dyDescent="0.25">
      <c r="A404">
        <v>1403</v>
      </c>
      <c r="B404">
        <v>32</v>
      </c>
      <c r="C404" t="s">
        <v>31</v>
      </c>
      <c r="D404" t="s">
        <v>27</v>
      </c>
      <c r="E404" t="s">
        <v>25</v>
      </c>
      <c r="F404" t="s">
        <v>26</v>
      </c>
      <c r="G404">
        <v>95514</v>
      </c>
      <c r="H404">
        <v>11</v>
      </c>
      <c r="I404">
        <v>51</v>
      </c>
      <c r="K404">
        <v>8</v>
      </c>
      <c r="L404" s="1">
        <v>44118</v>
      </c>
      <c r="M404" s="1"/>
      <c r="N404" t="s">
        <v>49</v>
      </c>
    </row>
    <row r="405" spans="1:14" x14ac:dyDescent="0.25">
      <c r="A405">
        <v>1404</v>
      </c>
      <c r="B405">
        <v>58</v>
      </c>
      <c r="C405" t="s">
        <v>31</v>
      </c>
      <c r="D405" t="s">
        <v>16</v>
      </c>
      <c r="E405" t="s">
        <v>12</v>
      </c>
      <c r="F405" t="s">
        <v>21</v>
      </c>
      <c r="G405">
        <v>55875</v>
      </c>
      <c r="H405">
        <v>3</v>
      </c>
      <c r="I405">
        <v>32</v>
      </c>
      <c r="J405">
        <v>3</v>
      </c>
      <c r="K405">
        <v>10</v>
      </c>
      <c r="L405" s="1">
        <v>43021</v>
      </c>
      <c r="M405" s="1"/>
      <c r="N405" t="s">
        <v>49</v>
      </c>
    </row>
    <row r="406" spans="1:14" x14ac:dyDescent="0.25">
      <c r="A406">
        <v>1405</v>
      </c>
      <c r="B406">
        <v>58</v>
      </c>
      <c r="C406" t="s">
        <v>32</v>
      </c>
      <c r="D406" t="s">
        <v>23</v>
      </c>
      <c r="E406" t="s">
        <v>14</v>
      </c>
      <c r="F406" t="s">
        <v>15</v>
      </c>
      <c r="G406">
        <v>83652</v>
      </c>
      <c r="H406">
        <v>8</v>
      </c>
      <c r="I406">
        <v>43</v>
      </c>
      <c r="J406">
        <v>4</v>
      </c>
      <c r="K406">
        <v>4</v>
      </c>
      <c r="L406" s="1">
        <v>44807</v>
      </c>
      <c r="M406" s="1">
        <v>42627</v>
      </c>
      <c r="N406" t="s">
        <v>50</v>
      </c>
    </row>
    <row r="407" spans="1:14" x14ac:dyDescent="0.25">
      <c r="A407">
        <v>1406</v>
      </c>
      <c r="B407">
        <v>45</v>
      </c>
      <c r="C407" t="s">
        <v>32</v>
      </c>
      <c r="D407" t="s">
        <v>19</v>
      </c>
      <c r="E407" t="s">
        <v>20</v>
      </c>
      <c r="F407" t="s">
        <v>45</v>
      </c>
      <c r="G407">
        <v>61898</v>
      </c>
      <c r="H407">
        <v>3</v>
      </c>
      <c r="I407">
        <v>11</v>
      </c>
      <c r="J407">
        <v>4</v>
      </c>
      <c r="K407">
        <v>7</v>
      </c>
      <c r="L407" s="1">
        <v>44497</v>
      </c>
      <c r="M407" s="1"/>
      <c r="N407" t="s">
        <v>49</v>
      </c>
    </row>
    <row r="408" spans="1:14" x14ac:dyDescent="0.25">
      <c r="A408">
        <v>1407</v>
      </c>
      <c r="B408">
        <v>56</v>
      </c>
      <c r="C408" t="s">
        <v>32</v>
      </c>
      <c r="D408" t="s">
        <v>16</v>
      </c>
      <c r="E408" t="s">
        <v>20</v>
      </c>
      <c r="F408" t="s">
        <v>45</v>
      </c>
      <c r="G408">
        <v>57963</v>
      </c>
      <c r="H408">
        <v>7</v>
      </c>
      <c r="I408">
        <v>2</v>
      </c>
      <c r="J408">
        <v>1</v>
      </c>
      <c r="K408">
        <v>4</v>
      </c>
      <c r="L408" s="1">
        <v>42970</v>
      </c>
      <c r="M408" s="1"/>
      <c r="N408" t="s">
        <v>49</v>
      </c>
    </row>
    <row r="409" spans="1:14" x14ac:dyDescent="0.25">
      <c r="A409">
        <v>1408</v>
      </c>
      <c r="B409">
        <v>55</v>
      </c>
      <c r="C409" t="s">
        <v>32</v>
      </c>
      <c r="D409" t="s">
        <v>23</v>
      </c>
      <c r="E409" t="s">
        <v>20</v>
      </c>
      <c r="F409" t="s">
        <v>45</v>
      </c>
      <c r="G409">
        <v>64490</v>
      </c>
      <c r="H409">
        <v>8</v>
      </c>
      <c r="I409">
        <v>51</v>
      </c>
      <c r="J409">
        <v>4</v>
      </c>
      <c r="K409">
        <v>6</v>
      </c>
      <c r="L409" s="1">
        <v>42773</v>
      </c>
      <c r="M409" s="1"/>
      <c r="N409" t="s">
        <v>49</v>
      </c>
    </row>
    <row r="410" spans="1:14" x14ac:dyDescent="0.25">
      <c r="A410">
        <v>1409</v>
      </c>
      <c r="B410">
        <v>42</v>
      </c>
      <c r="C410" t="s">
        <v>32</v>
      </c>
      <c r="D410" t="s">
        <v>27</v>
      </c>
      <c r="E410" t="s">
        <v>28</v>
      </c>
      <c r="F410" t="s">
        <v>26</v>
      </c>
      <c r="G410">
        <v>82651</v>
      </c>
      <c r="H410">
        <v>1</v>
      </c>
      <c r="I410">
        <v>2</v>
      </c>
      <c r="J410">
        <v>1</v>
      </c>
      <c r="K410">
        <v>5</v>
      </c>
      <c r="L410" s="1">
        <v>42917</v>
      </c>
      <c r="M410" s="1"/>
      <c r="N410" t="s">
        <v>49</v>
      </c>
    </row>
    <row r="411" spans="1:14" x14ac:dyDescent="0.25">
      <c r="A411">
        <v>1410</v>
      </c>
      <c r="B411">
        <v>53</v>
      </c>
      <c r="C411" t="s">
        <v>31</v>
      </c>
      <c r="D411" t="s">
        <v>13</v>
      </c>
      <c r="E411" t="s">
        <v>28</v>
      </c>
      <c r="F411" t="s">
        <v>15</v>
      </c>
      <c r="G411">
        <v>93510</v>
      </c>
      <c r="H411">
        <v>30</v>
      </c>
      <c r="I411">
        <v>52</v>
      </c>
      <c r="J411">
        <v>5</v>
      </c>
      <c r="K411">
        <v>4</v>
      </c>
      <c r="L411" s="1">
        <v>42061</v>
      </c>
      <c r="M411" s="1"/>
      <c r="N411" t="s">
        <v>49</v>
      </c>
    </row>
    <row r="412" spans="1:14" x14ac:dyDescent="0.25">
      <c r="A412">
        <v>1411</v>
      </c>
      <c r="B412">
        <v>43</v>
      </c>
      <c r="C412" t="s">
        <v>31</v>
      </c>
      <c r="D412" t="s">
        <v>22</v>
      </c>
      <c r="E412" t="s">
        <v>25</v>
      </c>
      <c r="F412" t="s">
        <v>15</v>
      </c>
      <c r="G412">
        <v>94729</v>
      </c>
      <c r="H412">
        <v>23</v>
      </c>
      <c r="I412">
        <v>59</v>
      </c>
      <c r="J412">
        <v>1</v>
      </c>
      <c r="K412">
        <v>5</v>
      </c>
      <c r="L412" s="1">
        <v>44594</v>
      </c>
      <c r="M412" s="1"/>
      <c r="N412" t="s">
        <v>49</v>
      </c>
    </row>
    <row r="413" spans="1:14" x14ac:dyDescent="0.25">
      <c r="A413">
        <v>1412</v>
      </c>
      <c r="B413">
        <v>21</v>
      </c>
      <c r="C413" t="s">
        <v>31</v>
      </c>
      <c r="D413" t="s">
        <v>23</v>
      </c>
      <c r="E413" t="s">
        <v>28</v>
      </c>
      <c r="F413" t="s">
        <v>45</v>
      </c>
      <c r="G413">
        <v>84125</v>
      </c>
      <c r="H413">
        <v>17</v>
      </c>
      <c r="I413">
        <v>2</v>
      </c>
      <c r="J413">
        <v>5</v>
      </c>
      <c r="K413">
        <v>5</v>
      </c>
      <c r="L413" s="1">
        <v>45366</v>
      </c>
      <c r="M413" s="1"/>
      <c r="N413" t="s">
        <v>49</v>
      </c>
    </row>
    <row r="414" spans="1:14" x14ac:dyDescent="0.25">
      <c r="A414">
        <v>1413</v>
      </c>
      <c r="B414">
        <v>22</v>
      </c>
      <c r="C414" t="s">
        <v>32</v>
      </c>
      <c r="D414" t="s">
        <v>22</v>
      </c>
      <c r="E414" t="s">
        <v>25</v>
      </c>
      <c r="F414" t="s">
        <v>26</v>
      </c>
      <c r="G414">
        <v>56402</v>
      </c>
      <c r="H414">
        <v>9</v>
      </c>
      <c r="I414">
        <v>12</v>
      </c>
      <c r="J414">
        <v>4</v>
      </c>
      <c r="K414">
        <v>3</v>
      </c>
      <c r="L414" s="1">
        <v>43783</v>
      </c>
      <c r="M414" s="1"/>
      <c r="N414" t="s">
        <v>49</v>
      </c>
    </row>
    <row r="415" spans="1:14" x14ac:dyDescent="0.25">
      <c r="A415">
        <v>1414</v>
      </c>
      <c r="B415">
        <v>54</v>
      </c>
      <c r="C415" t="s">
        <v>31</v>
      </c>
      <c r="D415" t="s">
        <v>16</v>
      </c>
      <c r="E415" t="s">
        <v>12</v>
      </c>
      <c r="F415" t="s">
        <v>26</v>
      </c>
      <c r="G415">
        <v>67099</v>
      </c>
      <c r="H415">
        <v>28</v>
      </c>
      <c r="I415">
        <v>43</v>
      </c>
      <c r="J415">
        <v>3</v>
      </c>
      <c r="K415">
        <v>6</v>
      </c>
      <c r="L415" s="1">
        <v>44125</v>
      </c>
      <c r="M415" s="1"/>
      <c r="N415" t="s">
        <v>49</v>
      </c>
    </row>
    <row r="416" spans="1:14" x14ac:dyDescent="0.25">
      <c r="A416">
        <v>1415</v>
      </c>
      <c r="B416">
        <v>46</v>
      </c>
      <c r="C416" t="s">
        <v>32</v>
      </c>
      <c r="D416" t="s">
        <v>23</v>
      </c>
      <c r="E416" t="s">
        <v>28</v>
      </c>
      <c r="F416" t="s">
        <v>18</v>
      </c>
      <c r="G416">
        <v>67870</v>
      </c>
      <c r="H416">
        <v>1</v>
      </c>
      <c r="I416">
        <v>26</v>
      </c>
      <c r="J416">
        <v>3</v>
      </c>
      <c r="K416">
        <v>2</v>
      </c>
      <c r="L416" s="1">
        <v>42955</v>
      </c>
      <c r="M416" s="1">
        <v>44202</v>
      </c>
      <c r="N416" t="s">
        <v>50</v>
      </c>
    </row>
    <row r="417" spans="1:14" x14ac:dyDescent="0.25">
      <c r="A417">
        <v>1416</v>
      </c>
      <c r="B417">
        <v>32</v>
      </c>
      <c r="C417" t="s">
        <v>31</v>
      </c>
      <c r="D417" t="s">
        <v>23</v>
      </c>
      <c r="E417" t="s">
        <v>20</v>
      </c>
      <c r="F417" t="s">
        <v>15</v>
      </c>
      <c r="G417">
        <v>79040</v>
      </c>
      <c r="H417">
        <v>5</v>
      </c>
      <c r="I417">
        <v>14</v>
      </c>
      <c r="J417">
        <v>4</v>
      </c>
      <c r="K417">
        <v>7</v>
      </c>
      <c r="L417" s="1">
        <v>44853</v>
      </c>
      <c r="M417" s="1"/>
      <c r="N417" t="s">
        <v>49</v>
      </c>
    </row>
    <row r="418" spans="1:14" x14ac:dyDescent="0.25">
      <c r="A418">
        <v>1417</v>
      </c>
      <c r="B418">
        <v>33</v>
      </c>
      <c r="C418" t="s">
        <v>32</v>
      </c>
      <c r="D418" t="s">
        <v>23</v>
      </c>
      <c r="E418" t="s">
        <v>14</v>
      </c>
      <c r="F418" t="s">
        <v>26</v>
      </c>
      <c r="G418">
        <v>100966</v>
      </c>
      <c r="H418">
        <v>27</v>
      </c>
      <c r="I418">
        <v>24</v>
      </c>
      <c r="K418">
        <v>8</v>
      </c>
      <c r="L418" s="1">
        <v>45146</v>
      </c>
      <c r="M418" s="1"/>
      <c r="N418" t="s">
        <v>49</v>
      </c>
    </row>
    <row r="419" spans="1:14" x14ac:dyDescent="0.25">
      <c r="A419">
        <v>1418</v>
      </c>
      <c r="B419">
        <v>23</v>
      </c>
      <c r="C419" t="s">
        <v>32</v>
      </c>
      <c r="D419" t="s">
        <v>22</v>
      </c>
      <c r="E419" t="s">
        <v>28</v>
      </c>
      <c r="F419" t="s">
        <v>29</v>
      </c>
      <c r="G419">
        <v>54880</v>
      </c>
      <c r="H419">
        <v>4</v>
      </c>
      <c r="I419">
        <v>58</v>
      </c>
      <c r="J419">
        <v>3</v>
      </c>
      <c r="K419">
        <v>3</v>
      </c>
      <c r="L419" s="1">
        <v>42525</v>
      </c>
      <c r="M419" s="1"/>
      <c r="N419" t="s">
        <v>49</v>
      </c>
    </row>
    <row r="420" spans="1:14" x14ac:dyDescent="0.25">
      <c r="A420">
        <v>1419</v>
      </c>
      <c r="B420">
        <v>39</v>
      </c>
      <c r="C420" t="s">
        <v>32</v>
      </c>
      <c r="D420" t="s">
        <v>23</v>
      </c>
      <c r="E420" t="s">
        <v>25</v>
      </c>
      <c r="F420" t="s">
        <v>45</v>
      </c>
      <c r="G420">
        <v>74190</v>
      </c>
      <c r="H420">
        <v>9</v>
      </c>
      <c r="I420">
        <v>49</v>
      </c>
      <c r="J420">
        <v>5</v>
      </c>
      <c r="K420">
        <v>3</v>
      </c>
      <c r="L420" s="1">
        <v>44737</v>
      </c>
      <c r="M420" s="1"/>
      <c r="N420" t="s">
        <v>49</v>
      </c>
    </row>
    <row r="421" spans="1:14" x14ac:dyDescent="0.25">
      <c r="A421">
        <v>1420</v>
      </c>
      <c r="B421">
        <v>25</v>
      </c>
      <c r="C421" t="s">
        <v>31</v>
      </c>
      <c r="D421" t="s">
        <v>16</v>
      </c>
      <c r="E421" t="s">
        <v>20</v>
      </c>
      <c r="F421" t="s">
        <v>26</v>
      </c>
      <c r="G421">
        <v>100667</v>
      </c>
      <c r="H421">
        <v>7</v>
      </c>
      <c r="I421">
        <v>18</v>
      </c>
      <c r="J421">
        <v>4</v>
      </c>
      <c r="K421">
        <v>5</v>
      </c>
      <c r="L421" s="1">
        <v>42725</v>
      </c>
      <c r="M421" s="1">
        <v>43927</v>
      </c>
      <c r="N421" t="s">
        <v>50</v>
      </c>
    </row>
    <row r="422" spans="1:14" x14ac:dyDescent="0.25">
      <c r="A422">
        <v>1421</v>
      </c>
      <c r="B422">
        <v>34</v>
      </c>
      <c r="C422" t="s">
        <v>32</v>
      </c>
      <c r="D422" t="s">
        <v>16</v>
      </c>
      <c r="E422" t="s">
        <v>14</v>
      </c>
      <c r="F422" t="s">
        <v>21</v>
      </c>
      <c r="G422">
        <v>79660</v>
      </c>
      <c r="H422">
        <v>0</v>
      </c>
      <c r="I422">
        <v>38</v>
      </c>
      <c r="J422">
        <v>5</v>
      </c>
      <c r="K422">
        <v>8</v>
      </c>
      <c r="L422" s="1">
        <v>42649</v>
      </c>
      <c r="M422" s="1">
        <v>44337</v>
      </c>
      <c r="N422" t="s">
        <v>50</v>
      </c>
    </row>
    <row r="423" spans="1:14" x14ac:dyDescent="0.25">
      <c r="A423">
        <v>1422</v>
      </c>
      <c r="B423">
        <v>53</v>
      </c>
      <c r="C423" t="s">
        <v>32</v>
      </c>
      <c r="D423" t="s">
        <v>13</v>
      </c>
      <c r="E423" t="s">
        <v>25</v>
      </c>
      <c r="F423" t="s">
        <v>29</v>
      </c>
      <c r="G423">
        <v>51308</v>
      </c>
      <c r="H423">
        <v>15</v>
      </c>
      <c r="I423">
        <v>2</v>
      </c>
      <c r="J423">
        <v>5</v>
      </c>
      <c r="K423">
        <v>10</v>
      </c>
      <c r="L423" s="1">
        <v>45092</v>
      </c>
      <c r="M423" s="1">
        <v>44968</v>
      </c>
      <c r="N423" t="s">
        <v>50</v>
      </c>
    </row>
    <row r="424" spans="1:14" x14ac:dyDescent="0.25">
      <c r="A424">
        <v>1423</v>
      </c>
      <c r="B424">
        <v>22</v>
      </c>
      <c r="C424" t="s">
        <v>31</v>
      </c>
      <c r="D424" t="s">
        <v>27</v>
      </c>
      <c r="E424" t="s">
        <v>14</v>
      </c>
      <c r="F424" t="s">
        <v>45</v>
      </c>
      <c r="G424">
        <v>98780</v>
      </c>
      <c r="H424">
        <v>4</v>
      </c>
      <c r="I424">
        <v>57</v>
      </c>
      <c r="J424">
        <v>3</v>
      </c>
      <c r="K424">
        <v>5</v>
      </c>
      <c r="L424" s="1">
        <v>43077</v>
      </c>
      <c r="M424" s="1"/>
      <c r="N424" t="s">
        <v>49</v>
      </c>
    </row>
    <row r="425" spans="1:14" x14ac:dyDescent="0.25">
      <c r="A425">
        <v>1424</v>
      </c>
      <c r="B425">
        <v>51</v>
      </c>
      <c r="C425" t="s">
        <v>31</v>
      </c>
      <c r="D425" t="s">
        <v>27</v>
      </c>
      <c r="E425" t="s">
        <v>12</v>
      </c>
      <c r="F425" t="s">
        <v>29</v>
      </c>
      <c r="G425">
        <v>79078</v>
      </c>
      <c r="H425">
        <v>13</v>
      </c>
      <c r="I425">
        <v>60</v>
      </c>
      <c r="J425">
        <v>5</v>
      </c>
      <c r="K425">
        <v>1</v>
      </c>
      <c r="L425" s="1">
        <v>42110</v>
      </c>
      <c r="M425" s="1">
        <v>42901</v>
      </c>
      <c r="N425" t="s">
        <v>50</v>
      </c>
    </row>
    <row r="426" spans="1:14" x14ac:dyDescent="0.25">
      <c r="A426">
        <v>1425</v>
      </c>
      <c r="B426">
        <v>46</v>
      </c>
      <c r="C426" t="s">
        <v>31</v>
      </c>
      <c r="D426" t="s">
        <v>22</v>
      </c>
      <c r="E426" t="s">
        <v>14</v>
      </c>
      <c r="F426" t="s">
        <v>29</v>
      </c>
      <c r="G426">
        <v>107847</v>
      </c>
      <c r="H426">
        <v>7</v>
      </c>
      <c r="I426">
        <v>45</v>
      </c>
      <c r="J426">
        <v>3</v>
      </c>
      <c r="K426">
        <v>6</v>
      </c>
      <c r="L426" s="1">
        <v>43425</v>
      </c>
      <c r="M426" s="1"/>
      <c r="N426" t="s">
        <v>49</v>
      </c>
    </row>
    <row r="427" spans="1:14" x14ac:dyDescent="0.25">
      <c r="A427">
        <v>1426</v>
      </c>
      <c r="B427">
        <v>29</v>
      </c>
      <c r="C427" t="s">
        <v>31</v>
      </c>
      <c r="D427" t="s">
        <v>16</v>
      </c>
      <c r="E427" t="s">
        <v>14</v>
      </c>
      <c r="F427" t="s">
        <v>17</v>
      </c>
      <c r="G427">
        <v>96387</v>
      </c>
      <c r="H427">
        <v>23</v>
      </c>
      <c r="I427">
        <v>20</v>
      </c>
      <c r="J427">
        <v>1</v>
      </c>
      <c r="K427">
        <v>8</v>
      </c>
      <c r="L427" s="1">
        <v>42511</v>
      </c>
      <c r="M427" s="1"/>
      <c r="N427" t="s">
        <v>49</v>
      </c>
    </row>
    <row r="428" spans="1:14" x14ac:dyDescent="0.25">
      <c r="A428">
        <v>1427</v>
      </c>
      <c r="B428">
        <v>42</v>
      </c>
      <c r="C428" t="s">
        <v>32</v>
      </c>
      <c r="D428" t="s">
        <v>27</v>
      </c>
      <c r="E428" t="s">
        <v>25</v>
      </c>
      <c r="F428" t="s">
        <v>45</v>
      </c>
      <c r="G428">
        <v>60852</v>
      </c>
      <c r="H428">
        <v>1</v>
      </c>
      <c r="I428">
        <v>58</v>
      </c>
      <c r="J428">
        <v>3</v>
      </c>
      <c r="K428">
        <v>8</v>
      </c>
      <c r="L428" s="1">
        <v>42226</v>
      </c>
      <c r="M428" s="1"/>
      <c r="N428" t="s">
        <v>49</v>
      </c>
    </row>
    <row r="429" spans="1:14" x14ac:dyDescent="0.25">
      <c r="A429">
        <v>1428</v>
      </c>
      <c r="B429">
        <v>38</v>
      </c>
      <c r="C429" t="s">
        <v>32</v>
      </c>
      <c r="D429" t="s">
        <v>16</v>
      </c>
      <c r="E429" t="s">
        <v>25</v>
      </c>
      <c r="F429" t="s">
        <v>45</v>
      </c>
      <c r="G429">
        <v>83444</v>
      </c>
      <c r="H429">
        <v>1</v>
      </c>
      <c r="I429">
        <v>57</v>
      </c>
      <c r="K429">
        <v>10</v>
      </c>
      <c r="L429" s="1">
        <v>43660</v>
      </c>
      <c r="M429" s="1"/>
      <c r="N429" t="s">
        <v>49</v>
      </c>
    </row>
    <row r="430" spans="1:14" x14ac:dyDescent="0.25">
      <c r="A430">
        <v>1429</v>
      </c>
      <c r="B430">
        <v>25</v>
      </c>
      <c r="C430" t="s">
        <v>32</v>
      </c>
      <c r="D430" t="s">
        <v>23</v>
      </c>
      <c r="E430" t="s">
        <v>25</v>
      </c>
      <c r="F430" t="s">
        <v>45</v>
      </c>
      <c r="G430">
        <v>74070</v>
      </c>
      <c r="H430">
        <v>2</v>
      </c>
      <c r="I430">
        <v>38</v>
      </c>
      <c r="J430">
        <v>4</v>
      </c>
      <c r="K430">
        <v>8</v>
      </c>
      <c r="L430" s="1">
        <v>44055</v>
      </c>
      <c r="M430" s="1"/>
      <c r="N430" t="s">
        <v>49</v>
      </c>
    </row>
    <row r="431" spans="1:14" x14ac:dyDescent="0.25">
      <c r="A431">
        <v>1430</v>
      </c>
      <c r="B431">
        <v>53</v>
      </c>
      <c r="C431" t="s">
        <v>32</v>
      </c>
      <c r="D431" t="s">
        <v>13</v>
      </c>
      <c r="E431" t="s">
        <v>25</v>
      </c>
      <c r="F431" t="s">
        <v>18</v>
      </c>
      <c r="G431">
        <v>84739</v>
      </c>
      <c r="H431">
        <v>26</v>
      </c>
      <c r="I431">
        <v>37</v>
      </c>
      <c r="J431">
        <v>2</v>
      </c>
      <c r="K431">
        <v>3</v>
      </c>
      <c r="L431" s="1">
        <v>43065</v>
      </c>
      <c r="M431" s="1"/>
      <c r="N431" t="s">
        <v>49</v>
      </c>
    </row>
    <row r="432" spans="1:14" x14ac:dyDescent="0.25">
      <c r="A432">
        <v>1431</v>
      </c>
      <c r="B432">
        <v>42</v>
      </c>
      <c r="C432" t="s">
        <v>31</v>
      </c>
      <c r="D432" t="s">
        <v>13</v>
      </c>
      <c r="E432" t="s">
        <v>12</v>
      </c>
      <c r="F432" t="s">
        <v>15</v>
      </c>
      <c r="G432">
        <v>102171</v>
      </c>
      <c r="H432">
        <v>19</v>
      </c>
      <c r="I432">
        <v>31</v>
      </c>
      <c r="J432">
        <v>1</v>
      </c>
      <c r="K432">
        <v>3</v>
      </c>
      <c r="L432" s="1">
        <v>42553</v>
      </c>
      <c r="M432" s="1"/>
      <c r="N432" t="s">
        <v>49</v>
      </c>
    </row>
    <row r="433" spans="1:14" x14ac:dyDescent="0.25">
      <c r="A433">
        <v>1432</v>
      </c>
      <c r="B433">
        <v>40</v>
      </c>
      <c r="C433" t="s">
        <v>32</v>
      </c>
      <c r="D433" t="s">
        <v>27</v>
      </c>
      <c r="E433" t="s">
        <v>25</v>
      </c>
      <c r="F433" t="s">
        <v>45</v>
      </c>
      <c r="G433">
        <v>47705</v>
      </c>
      <c r="H433">
        <v>0</v>
      </c>
      <c r="I433">
        <v>14</v>
      </c>
      <c r="J433">
        <v>4</v>
      </c>
      <c r="K433">
        <v>6</v>
      </c>
      <c r="L433" s="1">
        <v>43500</v>
      </c>
      <c r="M433" s="1"/>
      <c r="N433" t="s">
        <v>49</v>
      </c>
    </row>
    <row r="434" spans="1:14" x14ac:dyDescent="0.25">
      <c r="A434">
        <v>1433</v>
      </c>
      <c r="B434">
        <v>55</v>
      </c>
      <c r="C434" t="s">
        <v>31</v>
      </c>
      <c r="D434" t="s">
        <v>22</v>
      </c>
      <c r="E434" t="s">
        <v>14</v>
      </c>
      <c r="F434" t="s">
        <v>26</v>
      </c>
      <c r="G434">
        <v>46998</v>
      </c>
      <c r="H434">
        <v>6</v>
      </c>
      <c r="I434">
        <v>21</v>
      </c>
      <c r="K434">
        <v>2</v>
      </c>
      <c r="L434" s="1">
        <v>44009</v>
      </c>
      <c r="M434" s="1"/>
      <c r="N434" t="s">
        <v>49</v>
      </c>
    </row>
    <row r="435" spans="1:14" x14ac:dyDescent="0.25">
      <c r="A435">
        <v>1434</v>
      </c>
      <c r="B435">
        <v>27</v>
      </c>
      <c r="C435" t="s">
        <v>31</v>
      </c>
      <c r="D435" t="s">
        <v>13</v>
      </c>
      <c r="E435" t="s">
        <v>12</v>
      </c>
      <c r="F435" t="s">
        <v>29</v>
      </c>
      <c r="G435">
        <v>88699</v>
      </c>
      <c r="H435">
        <v>6</v>
      </c>
      <c r="I435">
        <v>27</v>
      </c>
      <c r="J435">
        <v>3</v>
      </c>
      <c r="K435">
        <v>6</v>
      </c>
      <c r="L435" s="1">
        <v>43054</v>
      </c>
      <c r="M435" s="1"/>
      <c r="N435" t="s">
        <v>49</v>
      </c>
    </row>
    <row r="436" spans="1:14" x14ac:dyDescent="0.25">
      <c r="A436">
        <v>1435</v>
      </c>
      <c r="B436">
        <v>36</v>
      </c>
      <c r="C436" t="s">
        <v>32</v>
      </c>
      <c r="D436" t="s">
        <v>23</v>
      </c>
      <c r="E436" t="s">
        <v>14</v>
      </c>
      <c r="F436" t="s">
        <v>29</v>
      </c>
      <c r="G436">
        <v>90200</v>
      </c>
      <c r="H436">
        <v>1</v>
      </c>
      <c r="I436">
        <v>22</v>
      </c>
      <c r="K436">
        <v>7</v>
      </c>
      <c r="L436" s="1">
        <v>42968</v>
      </c>
      <c r="M436" s="1"/>
      <c r="N436" t="s">
        <v>49</v>
      </c>
    </row>
    <row r="437" spans="1:14" x14ac:dyDescent="0.25">
      <c r="A437">
        <v>1436</v>
      </c>
      <c r="B437">
        <v>52</v>
      </c>
      <c r="C437" t="s">
        <v>31</v>
      </c>
      <c r="D437" t="s">
        <v>27</v>
      </c>
      <c r="E437" t="s">
        <v>25</v>
      </c>
      <c r="F437" t="s">
        <v>15</v>
      </c>
      <c r="G437">
        <v>78581</v>
      </c>
      <c r="H437">
        <v>14</v>
      </c>
      <c r="I437">
        <v>9</v>
      </c>
      <c r="J437">
        <v>2</v>
      </c>
      <c r="K437">
        <v>4</v>
      </c>
      <c r="L437" s="1">
        <v>43653</v>
      </c>
      <c r="M437" s="1"/>
      <c r="N437" t="s">
        <v>49</v>
      </c>
    </row>
    <row r="438" spans="1:14" x14ac:dyDescent="0.25">
      <c r="A438">
        <v>1437</v>
      </c>
      <c r="B438">
        <v>38</v>
      </c>
      <c r="C438" t="s">
        <v>31</v>
      </c>
      <c r="D438" t="s">
        <v>23</v>
      </c>
      <c r="E438" t="s">
        <v>25</v>
      </c>
      <c r="F438" t="s">
        <v>45</v>
      </c>
      <c r="G438">
        <v>88735</v>
      </c>
      <c r="H438">
        <v>19</v>
      </c>
      <c r="I438">
        <v>24</v>
      </c>
      <c r="J438">
        <v>1</v>
      </c>
      <c r="K438">
        <v>10</v>
      </c>
      <c r="L438" s="1">
        <v>45214</v>
      </c>
      <c r="M438" s="1"/>
      <c r="N438" t="s">
        <v>49</v>
      </c>
    </row>
    <row r="439" spans="1:14" x14ac:dyDescent="0.25">
      <c r="A439">
        <v>1438</v>
      </c>
      <c r="B439">
        <v>41</v>
      </c>
      <c r="C439" t="s">
        <v>31</v>
      </c>
      <c r="D439" t="s">
        <v>22</v>
      </c>
      <c r="E439" t="s">
        <v>20</v>
      </c>
      <c r="F439" t="s">
        <v>17</v>
      </c>
      <c r="G439">
        <v>93373</v>
      </c>
      <c r="H439">
        <v>10</v>
      </c>
      <c r="I439">
        <v>26</v>
      </c>
      <c r="K439">
        <v>9</v>
      </c>
      <c r="L439" s="1">
        <v>43502</v>
      </c>
      <c r="M439" s="1"/>
      <c r="N439" t="s">
        <v>49</v>
      </c>
    </row>
    <row r="440" spans="1:14" x14ac:dyDescent="0.25">
      <c r="A440">
        <v>1439</v>
      </c>
      <c r="B440">
        <v>33</v>
      </c>
      <c r="C440" t="s">
        <v>32</v>
      </c>
      <c r="D440" t="s">
        <v>13</v>
      </c>
      <c r="E440" t="s">
        <v>28</v>
      </c>
      <c r="F440" t="s">
        <v>26</v>
      </c>
      <c r="G440">
        <v>54005</v>
      </c>
      <c r="H440">
        <v>25</v>
      </c>
      <c r="I440">
        <v>57</v>
      </c>
      <c r="J440">
        <v>2</v>
      </c>
      <c r="K440">
        <v>2</v>
      </c>
      <c r="L440" s="1">
        <v>43111</v>
      </c>
      <c r="M440" s="1">
        <v>43744</v>
      </c>
      <c r="N440" t="s">
        <v>50</v>
      </c>
    </row>
    <row r="441" spans="1:14" x14ac:dyDescent="0.25">
      <c r="A441">
        <v>1440</v>
      </c>
      <c r="B441">
        <v>35</v>
      </c>
      <c r="C441" t="s">
        <v>31</v>
      </c>
      <c r="D441" t="s">
        <v>23</v>
      </c>
      <c r="E441" t="s">
        <v>28</v>
      </c>
      <c r="F441" t="s">
        <v>45</v>
      </c>
      <c r="G441">
        <v>91402</v>
      </c>
      <c r="H441">
        <v>2</v>
      </c>
      <c r="I441">
        <v>31</v>
      </c>
      <c r="J441">
        <v>4</v>
      </c>
      <c r="K441">
        <v>7</v>
      </c>
      <c r="L441" s="1">
        <v>45159</v>
      </c>
      <c r="M441" s="1"/>
      <c r="N441" t="s">
        <v>49</v>
      </c>
    </row>
    <row r="442" spans="1:14" x14ac:dyDescent="0.25">
      <c r="A442">
        <v>1441</v>
      </c>
      <c r="B442">
        <v>59</v>
      </c>
      <c r="C442" t="s">
        <v>31</v>
      </c>
      <c r="D442" t="s">
        <v>13</v>
      </c>
      <c r="E442" t="s">
        <v>14</v>
      </c>
      <c r="F442" t="s">
        <v>17</v>
      </c>
      <c r="G442">
        <v>67366</v>
      </c>
      <c r="H442">
        <v>26</v>
      </c>
      <c r="I442">
        <v>30</v>
      </c>
      <c r="J442">
        <v>3</v>
      </c>
      <c r="K442">
        <v>3</v>
      </c>
      <c r="L442" s="1">
        <v>45250</v>
      </c>
      <c r="M442" s="1"/>
      <c r="N442" t="s">
        <v>49</v>
      </c>
    </row>
    <row r="443" spans="1:14" x14ac:dyDescent="0.25">
      <c r="A443">
        <v>1442</v>
      </c>
      <c r="B443">
        <v>54</v>
      </c>
      <c r="C443" t="s">
        <v>31</v>
      </c>
      <c r="D443" t="s">
        <v>13</v>
      </c>
      <c r="E443" t="s">
        <v>12</v>
      </c>
      <c r="F443" t="s">
        <v>17</v>
      </c>
      <c r="G443">
        <v>64659</v>
      </c>
      <c r="H443">
        <v>18</v>
      </c>
      <c r="I443">
        <v>2</v>
      </c>
      <c r="J443">
        <v>5</v>
      </c>
      <c r="K443">
        <v>4</v>
      </c>
      <c r="L443" s="1">
        <v>45580</v>
      </c>
      <c r="M443" s="1">
        <v>45280</v>
      </c>
      <c r="N443" t="s">
        <v>50</v>
      </c>
    </row>
    <row r="444" spans="1:14" x14ac:dyDescent="0.25">
      <c r="A444">
        <v>1443</v>
      </c>
      <c r="B444">
        <v>32</v>
      </c>
      <c r="C444" t="s">
        <v>32</v>
      </c>
      <c r="D444" t="s">
        <v>19</v>
      </c>
      <c r="E444" t="s">
        <v>28</v>
      </c>
      <c r="F444" t="s">
        <v>26</v>
      </c>
      <c r="G444">
        <v>71450</v>
      </c>
      <c r="H444">
        <v>10</v>
      </c>
      <c r="I444">
        <v>33</v>
      </c>
      <c r="J444">
        <v>1</v>
      </c>
      <c r="K444">
        <v>9</v>
      </c>
      <c r="L444" s="1">
        <v>43485</v>
      </c>
      <c r="M444" s="1">
        <v>42454</v>
      </c>
      <c r="N444" t="s">
        <v>50</v>
      </c>
    </row>
    <row r="445" spans="1:14" x14ac:dyDescent="0.25">
      <c r="A445">
        <v>1444</v>
      </c>
      <c r="B445">
        <v>24</v>
      </c>
      <c r="C445" t="s">
        <v>32</v>
      </c>
      <c r="D445" t="s">
        <v>22</v>
      </c>
      <c r="E445" t="s">
        <v>25</v>
      </c>
      <c r="F445" t="s">
        <v>18</v>
      </c>
      <c r="G445">
        <v>55789</v>
      </c>
      <c r="H445">
        <v>7</v>
      </c>
      <c r="I445">
        <v>2</v>
      </c>
      <c r="J445">
        <v>3</v>
      </c>
      <c r="K445">
        <v>9</v>
      </c>
      <c r="L445" s="1">
        <v>42197</v>
      </c>
      <c r="M445" s="1">
        <v>44335</v>
      </c>
      <c r="N445" t="s">
        <v>50</v>
      </c>
    </row>
    <row r="446" spans="1:14" x14ac:dyDescent="0.25">
      <c r="A446">
        <v>1445</v>
      </c>
      <c r="B446">
        <v>52</v>
      </c>
      <c r="C446" t="s">
        <v>32</v>
      </c>
      <c r="D446" t="s">
        <v>19</v>
      </c>
      <c r="E446" t="s">
        <v>20</v>
      </c>
      <c r="F446" t="s">
        <v>26</v>
      </c>
      <c r="G446">
        <v>91995</v>
      </c>
      <c r="H446">
        <v>24</v>
      </c>
      <c r="I446">
        <v>18</v>
      </c>
      <c r="K446">
        <v>1</v>
      </c>
      <c r="L446" s="1">
        <v>43073</v>
      </c>
      <c r="M446" s="1"/>
      <c r="N446" t="s">
        <v>49</v>
      </c>
    </row>
    <row r="447" spans="1:14" x14ac:dyDescent="0.25">
      <c r="A447">
        <v>1446</v>
      </c>
      <c r="B447">
        <v>40</v>
      </c>
      <c r="C447" t="s">
        <v>31</v>
      </c>
      <c r="D447" t="s">
        <v>13</v>
      </c>
      <c r="E447" t="s">
        <v>28</v>
      </c>
      <c r="F447" t="s">
        <v>17</v>
      </c>
      <c r="G447">
        <v>71036</v>
      </c>
      <c r="H447">
        <v>15</v>
      </c>
      <c r="I447">
        <v>37</v>
      </c>
      <c r="J447">
        <v>3</v>
      </c>
      <c r="K447">
        <v>10</v>
      </c>
      <c r="L447" s="1">
        <v>45159</v>
      </c>
      <c r="M447" s="1"/>
      <c r="N447" t="s">
        <v>49</v>
      </c>
    </row>
    <row r="448" spans="1:14" x14ac:dyDescent="0.25">
      <c r="A448">
        <v>1447</v>
      </c>
      <c r="B448">
        <v>42</v>
      </c>
      <c r="C448" t="s">
        <v>31</v>
      </c>
      <c r="D448" t="s">
        <v>22</v>
      </c>
      <c r="E448" t="s">
        <v>28</v>
      </c>
      <c r="F448" t="s">
        <v>45</v>
      </c>
      <c r="G448">
        <v>93485</v>
      </c>
      <c r="H448">
        <v>25</v>
      </c>
      <c r="I448">
        <v>15</v>
      </c>
      <c r="J448">
        <v>2</v>
      </c>
      <c r="K448">
        <v>6</v>
      </c>
      <c r="L448" s="1">
        <v>42131</v>
      </c>
      <c r="M448" s="1">
        <v>44289</v>
      </c>
      <c r="N448" t="s">
        <v>50</v>
      </c>
    </row>
    <row r="449" spans="1:14" x14ac:dyDescent="0.25">
      <c r="A449">
        <v>1448</v>
      </c>
      <c r="B449">
        <v>40</v>
      </c>
      <c r="C449" t="s">
        <v>31</v>
      </c>
      <c r="D449" t="s">
        <v>23</v>
      </c>
      <c r="E449" t="s">
        <v>25</v>
      </c>
      <c r="F449" t="s">
        <v>29</v>
      </c>
      <c r="G449">
        <v>51752</v>
      </c>
      <c r="H449">
        <v>5</v>
      </c>
      <c r="I449">
        <v>59</v>
      </c>
      <c r="K449">
        <v>1</v>
      </c>
      <c r="L449" s="1">
        <v>45314</v>
      </c>
      <c r="M449" s="1"/>
      <c r="N449" t="s">
        <v>49</v>
      </c>
    </row>
    <row r="450" spans="1:14" x14ac:dyDescent="0.25">
      <c r="A450">
        <v>1449</v>
      </c>
      <c r="B450">
        <v>45</v>
      </c>
      <c r="C450" t="s">
        <v>32</v>
      </c>
      <c r="D450" t="s">
        <v>13</v>
      </c>
      <c r="E450" t="s">
        <v>12</v>
      </c>
      <c r="F450" t="s">
        <v>45</v>
      </c>
      <c r="G450">
        <v>46544</v>
      </c>
      <c r="H450">
        <v>22</v>
      </c>
      <c r="I450">
        <v>14</v>
      </c>
      <c r="K450">
        <v>3</v>
      </c>
      <c r="L450" s="1">
        <v>44997</v>
      </c>
      <c r="M450" s="1"/>
      <c r="N450" t="s">
        <v>49</v>
      </c>
    </row>
    <row r="451" spans="1:14" x14ac:dyDescent="0.25">
      <c r="A451">
        <v>1450</v>
      </c>
      <c r="B451">
        <v>34</v>
      </c>
      <c r="C451" t="s">
        <v>32</v>
      </c>
      <c r="D451" t="s">
        <v>23</v>
      </c>
      <c r="E451" t="s">
        <v>25</v>
      </c>
      <c r="F451" t="s">
        <v>45</v>
      </c>
      <c r="G451">
        <v>103550</v>
      </c>
      <c r="H451">
        <v>30</v>
      </c>
      <c r="I451">
        <v>26</v>
      </c>
      <c r="J451">
        <v>5</v>
      </c>
      <c r="K451">
        <v>5</v>
      </c>
      <c r="L451" s="1">
        <v>42386</v>
      </c>
      <c r="M451" s="1"/>
      <c r="N451" t="s">
        <v>49</v>
      </c>
    </row>
    <row r="452" spans="1:14" x14ac:dyDescent="0.25">
      <c r="A452">
        <v>1451</v>
      </c>
      <c r="B452">
        <v>36</v>
      </c>
      <c r="C452" t="s">
        <v>32</v>
      </c>
      <c r="D452" t="s">
        <v>27</v>
      </c>
      <c r="E452" t="s">
        <v>20</v>
      </c>
      <c r="F452" t="s">
        <v>15</v>
      </c>
      <c r="G452">
        <v>107286</v>
      </c>
      <c r="H452">
        <v>4</v>
      </c>
      <c r="I452">
        <v>31</v>
      </c>
      <c r="J452">
        <v>4</v>
      </c>
      <c r="K452">
        <v>4</v>
      </c>
      <c r="L452" s="1">
        <v>43477</v>
      </c>
      <c r="M452" s="1"/>
      <c r="N452" t="s">
        <v>49</v>
      </c>
    </row>
    <row r="453" spans="1:14" x14ac:dyDescent="0.25">
      <c r="A453">
        <v>1452</v>
      </c>
      <c r="B453">
        <v>27</v>
      </c>
      <c r="C453" t="s">
        <v>32</v>
      </c>
      <c r="D453" t="s">
        <v>22</v>
      </c>
      <c r="E453" t="s">
        <v>12</v>
      </c>
      <c r="F453" t="s">
        <v>45</v>
      </c>
      <c r="G453">
        <v>74381</v>
      </c>
      <c r="H453">
        <v>8</v>
      </c>
      <c r="I453">
        <v>35</v>
      </c>
      <c r="J453">
        <v>2</v>
      </c>
      <c r="K453">
        <v>4</v>
      </c>
      <c r="L453" s="1">
        <v>45637</v>
      </c>
      <c r="M453" s="1"/>
      <c r="N453" t="s">
        <v>49</v>
      </c>
    </row>
    <row r="454" spans="1:14" x14ac:dyDescent="0.25">
      <c r="A454">
        <v>1453</v>
      </c>
      <c r="B454">
        <v>38</v>
      </c>
      <c r="C454" t="s">
        <v>31</v>
      </c>
      <c r="D454" t="s">
        <v>23</v>
      </c>
      <c r="E454" t="s">
        <v>20</v>
      </c>
      <c r="F454" t="s">
        <v>17</v>
      </c>
      <c r="G454">
        <v>76251</v>
      </c>
      <c r="H454">
        <v>28</v>
      </c>
      <c r="I454">
        <v>30</v>
      </c>
      <c r="K454">
        <v>1</v>
      </c>
      <c r="L454" s="1">
        <v>44185</v>
      </c>
      <c r="M454" s="1"/>
      <c r="N454" t="s">
        <v>49</v>
      </c>
    </row>
    <row r="455" spans="1:14" x14ac:dyDescent="0.25">
      <c r="A455">
        <v>1454</v>
      </c>
      <c r="B455">
        <v>25</v>
      </c>
      <c r="C455" t="s">
        <v>32</v>
      </c>
      <c r="D455" t="s">
        <v>23</v>
      </c>
      <c r="E455" t="s">
        <v>14</v>
      </c>
      <c r="F455" t="s">
        <v>21</v>
      </c>
      <c r="G455">
        <v>94816</v>
      </c>
      <c r="H455">
        <v>21</v>
      </c>
      <c r="I455">
        <v>40</v>
      </c>
      <c r="J455">
        <v>4</v>
      </c>
      <c r="K455">
        <v>7</v>
      </c>
      <c r="L455" s="1">
        <v>42108</v>
      </c>
      <c r="M455" s="1"/>
      <c r="N455" t="s">
        <v>49</v>
      </c>
    </row>
    <row r="456" spans="1:14" x14ac:dyDescent="0.25">
      <c r="A456">
        <v>1455</v>
      </c>
      <c r="B456">
        <v>23</v>
      </c>
      <c r="C456" t="s">
        <v>31</v>
      </c>
      <c r="D456" t="s">
        <v>13</v>
      </c>
      <c r="E456" t="s">
        <v>28</v>
      </c>
      <c r="F456" t="s">
        <v>29</v>
      </c>
      <c r="G456">
        <v>57370</v>
      </c>
      <c r="H456">
        <v>30</v>
      </c>
      <c r="I456">
        <v>44</v>
      </c>
      <c r="K456">
        <v>7</v>
      </c>
      <c r="L456" s="1">
        <v>42618</v>
      </c>
      <c r="M456" s="1"/>
      <c r="N456" t="s">
        <v>49</v>
      </c>
    </row>
    <row r="457" spans="1:14" x14ac:dyDescent="0.25">
      <c r="A457">
        <v>1456</v>
      </c>
      <c r="B457">
        <v>43</v>
      </c>
      <c r="C457" t="s">
        <v>31</v>
      </c>
      <c r="D457" t="s">
        <v>19</v>
      </c>
      <c r="E457" t="s">
        <v>20</v>
      </c>
      <c r="F457" t="s">
        <v>26</v>
      </c>
      <c r="G457">
        <v>52809</v>
      </c>
      <c r="H457">
        <v>4</v>
      </c>
      <c r="I457">
        <v>49</v>
      </c>
      <c r="J457">
        <v>3</v>
      </c>
      <c r="K457">
        <v>3</v>
      </c>
      <c r="L457" s="1">
        <v>44902</v>
      </c>
      <c r="M457" s="1">
        <v>43295</v>
      </c>
      <c r="N457" t="s">
        <v>50</v>
      </c>
    </row>
    <row r="458" spans="1:14" x14ac:dyDescent="0.25">
      <c r="A458">
        <v>1457</v>
      </c>
      <c r="B458">
        <v>34</v>
      </c>
      <c r="C458" t="s">
        <v>32</v>
      </c>
      <c r="D458" t="s">
        <v>23</v>
      </c>
      <c r="E458" t="s">
        <v>28</v>
      </c>
      <c r="F458" t="s">
        <v>45</v>
      </c>
      <c r="G458">
        <v>58555</v>
      </c>
      <c r="H458">
        <v>22</v>
      </c>
      <c r="I458">
        <v>31</v>
      </c>
      <c r="J458">
        <v>3</v>
      </c>
      <c r="K458">
        <v>1</v>
      </c>
      <c r="L458" s="1">
        <v>43430</v>
      </c>
      <c r="M458" s="1">
        <v>44980</v>
      </c>
      <c r="N458" t="s">
        <v>50</v>
      </c>
    </row>
    <row r="459" spans="1:14" x14ac:dyDescent="0.25">
      <c r="A459">
        <v>1458</v>
      </c>
      <c r="B459">
        <v>51</v>
      </c>
      <c r="C459" t="s">
        <v>31</v>
      </c>
      <c r="D459" t="s">
        <v>23</v>
      </c>
      <c r="E459" t="s">
        <v>25</v>
      </c>
      <c r="F459" t="s">
        <v>18</v>
      </c>
      <c r="G459">
        <v>99357</v>
      </c>
      <c r="H459">
        <v>15</v>
      </c>
      <c r="I459">
        <v>15</v>
      </c>
      <c r="J459">
        <v>4</v>
      </c>
      <c r="K459">
        <v>10</v>
      </c>
      <c r="L459" s="1">
        <v>45047</v>
      </c>
      <c r="M459" s="1">
        <v>44929</v>
      </c>
      <c r="N459" t="s">
        <v>50</v>
      </c>
    </row>
    <row r="460" spans="1:14" x14ac:dyDescent="0.25">
      <c r="A460">
        <v>1459</v>
      </c>
      <c r="B460">
        <v>49</v>
      </c>
      <c r="C460" t="s">
        <v>32</v>
      </c>
      <c r="D460" t="s">
        <v>27</v>
      </c>
      <c r="E460" t="s">
        <v>20</v>
      </c>
      <c r="F460" t="s">
        <v>45</v>
      </c>
      <c r="G460">
        <v>67090</v>
      </c>
      <c r="H460">
        <v>17</v>
      </c>
      <c r="I460">
        <v>21</v>
      </c>
      <c r="J460">
        <v>5</v>
      </c>
      <c r="K460">
        <v>6</v>
      </c>
      <c r="L460" s="1">
        <v>43168</v>
      </c>
      <c r="M460" s="1"/>
      <c r="N460" t="s">
        <v>49</v>
      </c>
    </row>
    <row r="461" spans="1:14" x14ac:dyDescent="0.25">
      <c r="A461">
        <v>1460</v>
      </c>
      <c r="B461">
        <v>54</v>
      </c>
      <c r="C461" t="s">
        <v>32</v>
      </c>
      <c r="D461" t="s">
        <v>27</v>
      </c>
      <c r="E461" t="s">
        <v>25</v>
      </c>
      <c r="F461" t="s">
        <v>45</v>
      </c>
      <c r="G461">
        <v>99343</v>
      </c>
      <c r="H461">
        <v>7</v>
      </c>
      <c r="I461">
        <v>34</v>
      </c>
      <c r="J461">
        <v>3</v>
      </c>
      <c r="K461">
        <v>10</v>
      </c>
      <c r="L461" s="1">
        <v>44190</v>
      </c>
      <c r="M461" s="1">
        <v>44729</v>
      </c>
      <c r="N461" t="s">
        <v>50</v>
      </c>
    </row>
    <row r="462" spans="1:14" x14ac:dyDescent="0.25">
      <c r="A462">
        <v>1461</v>
      </c>
      <c r="B462">
        <v>33</v>
      </c>
      <c r="C462" t="s">
        <v>31</v>
      </c>
      <c r="D462" t="s">
        <v>22</v>
      </c>
      <c r="E462" t="s">
        <v>28</v>
      </c>
      <c r="F462" t="s">
        <v>21</v>
      </c>
      <c r="G462">
        <v>90620</v>
      </c>
      <c r="H462">
        <v>13</v>
      </c>
      <c r="I462">
        <v>2</v>
      </c>
      <c r="J462">
        <v>1</v>
      </c>
      <c r="K462">
        <v>1</v>
      </c>
      <c r="L462" s="1">
        <v>44974</v>
      </c>
      <c r="M462" s="1"/>
      <c r="N462" t="s">
        <v>49</v>
      </c>
    </row>
    <row r="463" spans="1:14" x14ac:dyDescent="0.25">
      <c r="A463">
        <v>1462</v>
      </c>
      <c r="B463">
        <v>57</v>
      </c>
      <c r="C463" t="s">
        <v>32</v>
      </c>
      <c r="D463" t="s">
        <v>23</v>
      </c>
      <c r="E463" t="s">
        <v>12</v>
      </c>
      <c r="F463" t="s">
        <v>18</v>
      </c>
      <c r="G463">
        <v>64409</v>
      </c>
      <c r="H463">
        <v>15</v>
      </c>
      <c r="I463">
        <v>4</v>
      </c>
      <c r="J463">
        <v>5</v>
      </c>
      <c r="K463">
        <v>9</v>
      </c>
      <c r="L463" s="1">
        <v>43668</v>
      </c>
      <c r="M463" s="1"/>
      <c r="N463" t="s">
        <v>49</v>
      </c>
    </row>
    <row r="464" spans="1:14" x14ac:dyDescent="0.25">
      <c r="A464">
        <v>1463</v>
      </c>
      <c r="B464">
        <v>52</v>
      </c>
      <c r="C464" t="s">
        <v>32</v>
      </c>
      <c r="D464" t="s">
        <v>19</v>
      </c>
      <c r="E464" t="s">
        <v>14</v>
      </c>
      <c r="F464" t="s">
        <v>15</v>
      </c>
      <c r="G464">
        <v>92944</v>
      </c>
      <c r="H464">
        <v>0</v>
      </c>
      <c r="I464">
        <v>39</v>
      </c>
      <c r="J464">
        <v>5</v>
      </c>
      <c r="K464">
        <v>8</v>
      </c>
      <c r="L464" s="1">
        <v>43043</v>
      </c>
      <c r="M464" s="1"/>
      <c r="N464" t="s">
        <v>49</v>
      </c>
    </row>
    <row r="465" spans="1:14" x14ac:dyDescent="0.25">
      <c r="A465">
        <v>1464</v>
      </c>
      <c r="B465">
        <v>50</v>
      </c>
      <c r="C465" t="s">
        <v>31</v>
      </c>
      <c r="D465" t="s">
        <v>23</v>
      </c>
      <c r="E465" t="s">
        <v>25</v>
      </c>
      <c r="F465" t="s">
        <v>18</v>
      </c>
      <c r="G465">
        <v>77534</v>
      </c>
      <c r="H465">
        <v>7</v>
      </c>
      <c r="I465">
        <v>11</v>
      </c>
      <c r="J465">
        <v>1</v>
      </c>
      <c r="K465">
        <v>7</v>
      </c>
      <c r="L465" s="1">
        <v>45425</v>
      </c>
      <c r="M465" s="1">
        <v>44646</v>
      </c>
      <c r="N465" t="s">
        <v>50</v>
      </c>
    </row>
    <row r="466" spans="1:14" x14ac:dyDescent="0.25">
      <c r="A466">
        <v>1465</v>
      </c>
      <c r="B466">
        <v>34</v>
      </c>
      <c r="C466" t="s">
        <v>32</v>
      </c>
      <c r="D466" t="s">
        <v>19</v>
      </c>
      <c r="E466" t="s">
        <v>14</v>
      </c>
      <c r="F466" t="s">
        <v>21</v>
      </c>
      <c r="G466">
        <v>82212</v>
      </c>
      <c r="H466">
        <v>3</v>
      </c>
      <c r="I466">
        <v>2</v>
      </c>
      <c r="J466">
        <v>5</v>
      </c>
      <c r="K466">
        <v>10</v>
      </c>
      <c r="L466" s="1">
        <v>43136</v>
      </c>
      <c r="M466" s="1"/>
      <c r="N466" t="s">
        <v>49</v>
      </c>
    </row>
    <row r="467" spans="1:14" x14ac:dyDescent="0.25">
      <c r="A467">
        <v>1466</v>
      </c>
      <c r="B467">
        <v>49</v>
      </c>
      <c r="C467" t="s">
        <v>32</v>
      </c>
      <c r="D467" t="s">
        <v>22</v>
      </c>
      <c r="E467" t="s">
        <v>28</v>
      </c>
      <c r="F467" t="s">
        <v>26</v>
      </c>
      <c r="G467">
        <v>59297</v>
      </c>
      <c r="H467">
        <v>4</v>
      </c>
      <c r="I467">
        <v>0</v>
      </c>
      <c r="J467">
        <v>2</v>
      </c>
      <c r="K467">
        <v>7</v>
      </c>
      <c r="L467" s="1">
        <v>45557</v>
      </c>
      <c r="M467" s="1">
        <v>42985</v>
      </c>
      <c r="N467" t="s">
        <v>50</v>
      </c>
    </row>
    <row r="468" spans="1:14" x14ac:dyDescent="0.25">
      <c r="A468">
        <v>1467</v>
      </c>
      <c r="B468">
        <v>30</v>
      </c>
      <c r="C468" t="s">
        <v>31</v>
      </c>
      <c r="D468" t="s">
        <v>27</v>
      </c>
      <c r="E468" t="s">
        <v>25</v>
      </c>
      <c r="F468" t="s">
        <v>18</v>
      </c>
      <c r="G468">
        <v>86581</v>
      </c>
      <c r="H468">
        <v>14</v>
      </c>
      <c r="I468">
        <v>46</v>
      </c>
      <c r="K468">
        <v>2</v>
      </c>
      <c r="L468" s="1">
        <v>44548</v>
      </c>
      <c r="M468" s="1"/>
      <c r="N468" t="s">
        <v>49</v>
      </c>
    </row>
    <row r="469" spans="1:14" x14ac:dyDescent="0.25">
      <c r="A469">
        <v>1468</v>
      </c>
      <c r="B469">
        <v>24</v>
      </c>
      <c r="C469" t="s">
        <v>32</v>
      </c>
      <c r="D469" t="s">
        <v>16</v>
      </c>
      <c r="E469" t="s">
        <v>25</v>
      </c>
      <c r="F469" t="s">
        <v>29</v>
      </c>
      <c r="G469">
        <v>67685</v>
      </c>
      <c r="H469">
        <v>6</v>
      </c>
      <c r="I469">
        <v>18</v>
      </c>
      <c r="J469">
        <v>4</v>
      </c>
      <c r="K469">
        <v>8</v>
      </c>
      <c r="L469" s="1">
        <v>42507</v>
      </c>
      <c r="M469" s="1"/>
      <c r="N469" t="s">
        <v>49</v>
      </c>
    </row>
    <row r="470" spans="1:14" x14ac:dyDescent="0.25">
      <c r="A470">
        <v>1469</v>
      </c>
      <c r="B470">
        <v>53</v>
      </c>
      <c r="C470" t="s">
        <v>32</v>
      </c>
      <c r="D470" t="s">
        <v>16</v>
      </c>
      <c r="E470" t="s">
        <v>28</v>
      </c>
      <c r="F470" t="s">
        <v>18</v>
      </c>
      <c r="G470">
        <v>74213</v>
      </c>
      <c r="H470">
        <v>10</v>
      </c>
      <c r="I470">
        <v>55</v>
      </c>
      <c r="J470">
        <v>2</v>
      </c>
      <c r="K470">
        <v>8</v>
      </c>
      <c r="L470" s="1">
        <v>42230</v>
      </c>
      <c r="M470" s="1"/>
      <c r="N470" t="s">
        <v>49</v>
      </c>
    </row>
    <row r="471" spans="1:14" x14ac:dyDescent="0.25">
      <c r="A471">
        <v>1470</v>
      </c>
      <c r="B471">
        <v>31</v>
      </c>
      <c r="C471" t="s">
        <v>32</v>
      </c>
      <c r="D471" t="s">
        <v>23</v>
      </c>
      <c r="E471" t="s">
        <v>25</v>
      </c>
      <c r="F471" t="s">
        <v>15</v>
      </c>
      <c r="G471">
        <v>101822</v>
      </c>
      <c r="H471">
        <v>3</v>
      </c>
      <c r="I471">
        <v>22</v>
      </c>
      <c r="K471">
        <v>6</v>
      </c>
      <c r="L471" s="1">
        <v>45486</v>
      </c>
      <c r="M471" s="1"/>
      <c r="N471" t="s">
        <v>49</v>
      </c>
    </row>
    <row r="472" spans="1:14" x14ac:dyDescent="0.25">
      <c r="A472">
        <v>1471</v>
      </c>
      <c r="B472">
        <v>57</v>
      </c>
      <c r="C472" t="s">
        <v>31</v>
      </c>
      <c r="D472" t="s">
        <v>16</v>
      </c>
      <c r="E472" t="s">
        <v>12</v>
      </c>
      <c r="F472" t="s">
        <v>17</v>
      </c>
      <c r="G472">
        <v>56944</v>
      </c>
      <c r="H472">
        <v>14</v>
      </c>
      <c r="I472">
        <v>14</v>
      </c>
      <c r="J472">
        <v>1</v>
      </c>
      <c r="K472">
        <v>7</v>
      </c>
      <c r="L472" s="1">
        <v>45460</v>
      </c>
      <c r="M472" s="1"/>
      <c r="N472" t="s">
        <v>49</v>
      </c>
    </row>
    <row r="473" spans="1:14" x14ac:dyDescent="0.25">
      <c r="A473">
        <v>1472</v>
      </c>
      <c r="B473">
        <v>34</v>
      </c>
      <c r="C473" t="s">
        <v>32</v>
      </c>
      <c r="D473" t="s">
        <v>27</v>
      </c>
      <c r="E473" t="s">
        <v>20</v>
      </c>
      <c r="F473" t="s">
        <v>45</v>
      </c>
      <c r="G473">
        <v>83350</v>
      </c>
      <c r="H473">
        <v>7</v>
      </c>
      <c r="I473">
        <v>42</v>
      </c>
      <c r="J473">
        <v>1</v>
      </c>
      <c r="K473">
        <v>9</v>
      </c>
      <c r="L473" s="1">
        <v>45017</v>
      </c>
      <c r="M473" s="1"/>
      <c r="N473" t="s">
        <v>49</v>
      </c>
    </row>
    <row r="474" spans="1:14" x14ac:dyDescent="0.25">
      <c r="A474">
        <v>1473</v>
      </c>
      <c r="B474">
        <v>36</v>
      </c>
      <c r="C474" t="s">
        <v>32</v>
      </c>
      <c r="D474" t="s">
        <v>16</v>
      </c>
      <c r="E474" t="s">
        <v>25</v>
      </c>
      <c r="F474" t="s">
        <v>45</v>
      </c>
      <c r="G474">
        <v>61380</v>
      </c>
      <c r="H474">
        <v>15</v>
      </c>
      <c r="I474">
        <v>19</v>
      </c>
      <c r="J474">
        <v>2</v>
      </c>
      <c r="K474">
        <v>1</v>
      </c>
      <c r="L474" s="1">
        <v>43617</v>
      </c>
      <c r="M474" s="1"/>
      <c r="N474" t="s">
        <v>49</v>
      </c>
    </row>
    <row r="475" spans="1:14" x14ac:dyDescent="0.25">
      <c r="A475">
        <v>1474</v>
      </c>
      <c r="B475">
        <v>29</v>
      </c>
      <c r="C475" t="s">
        <v>32</v>
      </c>
      <c r="D475" t="s">
        <v>27</v>
      </c>
      <c r="E475" t="s">
        <v>25</v>
      </c>
      <c r="F475" t="s">
        <v>29</v>
      </c>
      <c r="G475">
        <v>89100</v>
      </c>
      <c r="H475">
        <v>8</v>
      </c>
      <c r="I475">
        <v>26</v>
      </c>
      <c r="J475">
        <v>4</v>
      </c>
      <c r="K475">
        <v>4</v>
      </c>
      <c r="L475" s="1">
        <v>43928</v>
      </c>
      <c r="M475" s="1"/>
      <c r="N475" t="s">
        <v>49</v>
      </c>
    </row>
    <row r="476" spans="1:14" x14ac:dyDescent="0.25">
      <c r="A476">
        <v>1475</v>
      </c>
      <c r="B476">
        <v>32</v>
      </c>
      <c r="C476" t="s">
        <v>31</v>
      </c>
      <c r="D476" t="s">
        <v>27</v>
      </c>
      <c r="E476" t="s">
        <v>12</v>
      </c>
      <c r="F476" t="s">
        <v>15</v>
      </c>
      <c r="G476">
        <v>66289</v>
      </c>
      <c r="H476">
        <v>3</v>
      </c>
      <c r="I476">
        <v>1</v>
      </c>
      <c r="J476">
        <v>1</v>
      </c>
      <c r="K476">
        <v>5</v>
      </c>
      <c r="L476" s="1">
        <v>43299</v>
      </c>
      <c r="M476" s="1"/>
      <c r="N476" t="s">
        <v>49</v>
      </c>
    </row>
    <row r="477" spans="1:14" x14ac:dyDescent="0.25">
      <c r="A477">
        <v>1476</v>
      </c>
      <c r="B477">
        <v>50</v>
      </c>
      <c r="C477" t="s">
        <v>31</v>
      </c>
      <c r="D477" t="s">
        <v>19</v>
      </c>
      <c r="E477" t="s">
        <v>12</v>
      </c>
      <c r="F477" t="s">
        <v>17</v>
      </c>
      <c r="G477">
        <v>69132</v>
      </c>
      <c r="H477">
        <v>11</v>
      </c>
      <c r="I477">
        <v>20</v>
      </c>
      <c r="J477">
        <v>1</v>
      </c>
      <c r="K477">
        <v>7</v>
      </c>
      <c r="L477" s="1">
        <v>43125</v>
      </c>
      <c r="M477" s="1">
        <v>44515</v>
      </c>
      <c r="N477" t="s">
        <v>50</v>
      </c>
    </row>
    <row r="478" spans="1:14" x14ac:dyDescent="0.25">
      <c r="A478">
        <v>1477</v>
      </c>
      <c r="B478">
        <v>21</v>
      </c>
      <c r="C478" t="s">
        <v>32</v>
      </c>
      <c r="D478" t="s">
        <v>27</v>
      </c>
      <c r="E478" t="s">
        <v>12</v>
      </c>
      <c r="F478" t="s">
        <v>26</v>
      </c>
      <c r="G478">
        <v>73570</v>
      </c>
      <c r="H478">
        <v>3</v>
      </c>
      <c r="I478">
        <v>40</v>
      </c>
      <c r="J478">
        <v>2</v>
      </c>
      <c r="K478">
        <v>4</v>
      </c>
      <c r="L478" s="1">
        <v>43696</v>
      </c>
      <c r="M478" s="1"/>
      <c r="N478" t="s">
        <v>49</v>
      </c>
    </row>
    <row r="479" spans="1:14" x14ac:dyDescent="0.25">
      <c r="A479">
        <v>1478</v>
      </c>
      <c r="B479">
        <v>45</v>
      </c>
      <c r="C479" t="s">
        <v>32</v>
      </c>
      <c r="D479" t="s">
        <v>13</v>
      </c>
      <c r="E479" t="s">
        <v>14</v>
      </c>
      <c r="F479" t="s">
        <v>21</v>
      </c>
      <c r="G479">
        <v>108954</v>
      </c>
      <c r="H479">
        <v>27</v>
      </c>
      <c r="I479">
        <v>52</v>
      </c>
      <c r="K479">
        <v>5</v>
      </c>
      <c r="L479" s="1">
        <v>45545</v>
      </c>
      <c r="M479" s="1">
        <v>44721</v>
      </c>
      <c r="N479" t="s">
        <v>50</v>
      </c>
    </row>
    <row r="480" spans="1:14" x14ac:dyDescent="0.25">
      <c r="A480">
        <v>1479</v>
      </c>
      <c r="B480">
        <v>23</v>
      </c>
      <c r="C480" t="s">
        <v>32</v>
      </c>
      <c r="D480" t="s">
        <v>27</v>
      </c>
      <c r="E480" t="s">
        <v>14</v>
      </c>
      <c r="F480" t="s">
        <v>29</v>
      </c>
      <c r="G480">
        <v>99971</v>
      </c>
      <c r="H480">
        <v>19</v>
      </c>
      <c r="I480">
        <v>30</v>
      </c>
      <c r="J480">
        <v>5</v>
      </c>
      <c r="K480">
        <v>1</v>
      </c>
      <c r="L480" s="1">
        <v>42685</v>
      </c>
      <c r="M480" s="1"/>
      <c r="N480" t="s">
        <v>49</v>
      </c>
    </row>
    <row r="481" spans="1:14" x14ac:dyDescent="0.25">
      <c r="A481">
        <v>1480</v>
      </c>
      <c r="B481">
        <v>46</v>
      </c>
      <c r="C481" t="s">
        <v>32</v>
      </c>
      <c r="D481" t="s">
        <v>27</v>
      </c>
      <c r="E481" t="s">
        <v>20</v>
      </c>
      <c r="F481" t="s">
        <v>15</v>
      </c>
      <c r="G481">
        <v>77101</v>
      </c>
      <c r="H481">
        <v>16</v>
      </c>
      <c r="I481">
        <v>8</v>
      </c>
      <c r="J481">
        <v>3</v>
      </c>
      <c r="K481">
        <v>4</v>
      </c>
      <c r="L481" s="1">
        <v>43679</v>
      </c>
      <c r="M481" s="1"/>
      <c r="N481" t="s">
        <v>49</v>
      </c>
    </row>
    <row r="482" spans="1:14" x14ac:dyDescent="0.25">
      <c r="A482">
        <v>1481</v>
      </c>
      <c r="B482">
        <v>44</v>
      </c>
      <c r="C482" t="s">
        <v>31</v>
      </c>
      <c r="D482" t="s">
        <v>13</v>
      </c>
      <c r="E482" t="s">
        <v>28</v>
      </c>
      <c r="F482" t="s">
        <v>17</v>
      </c>
      <c r="G482">
        <v>76774</v>
      </c>
      <c r="H482">
        <v>8</v>
      </c>
      <c r="I482">
        <v>28</v>
      </c>
      <c r="K482">
        <v>8</v>
      </c>
      <c r="L482" s="1">
        <v>45478</v>
      </c>
      <c r="M482" s="1"/>
      <c r="N482" t="s">
        <v>49</v>
      </c>
    </row>
    <row r="483" spans="1:14" x14ac:dyDescent="0.25">
      <c r="A483">
        <v>1482</v>
      </c>
      <c r="B483">
        <v>28</v>
      </c>
      <c r="C483" t="s">
        <v>32</v>
      </c>
      <c r="D483" t="s">
        <v>27</v>
      </c>
      <c r="E483" t="s">
        <v>25</v>
      </c>
      <c r="F483" t="s">
        <v>15</v>
      </c>
      <c r="G483">
        <v>51364</v>
      </c>
      <c r="H483">
        <v>23</v>
      </c>
      <c r="I483">
        <v>22</v>
      </c>
      <c r="J483">
        <v>4</v>
      </c>
      <c r="K483">
        <v>10</v>
      </c>
      <c r="L483" s="1">
        <v>42929</v>
      </c>
      <c r="M483" s="1">
        <v>43847</v>
      </c>
      <c r="N483" t="s">
        <v>50</v>
      </c>
    </row>
    <row r="484" spans="1:14" x14ac:dyDescent="0.25">
      <c r="A484">
        <v>1483</v>
      </c>
      <c r="B484">
        <v>23</v>
      </c>
      <c r="C484" t="s">
        <v>32</v>
      </c>
      <c r="D484" t="s">
        <v>19</v>
      </c>
      <c r="E484" t="s">
        <v>25</v>
      </c>
      <c r="F484" t="s">
        <v>26</v>
      </c>
      <c r="G484">
        <v>52855</v>
      </c>
      <c r="H484">
        <v>5</v>
      </c>
      <c r="I484">
        <v>30</v>
      </c>
      <c r="J484">
        <v>4</v>
      </c>
      <c r="K484">
        <v>5</v>
      </c>
      <c r="L484" s="1">
        <v>45512</v>
      </c>
      <c r="M484" s="1"/>
      <c r="N484" t="s">
        <v>49</v>
      </c>
    </row>
    <row r="485" spans="1:14" x14ac:dyDescent="0.25">
      <c r="A485">
        <v>1484</v>
      </c>
      <c r="B485">
        <v>28</v>
      </c>
      <c r="C485" t="s">
        <v>31</v>
      </c>
      <c r="D485" t="s">
        <v>19</v>
      </c>
      <c r="E485" t="s">
        <v>12</v>
      </c>
      <c r="F485" t="s">
        <v>26</v>
      </c>
      <c r="G485">
        <v>90525</v>
      </c>
      <c r="H485">
        <v>30</v>
      </c>
      <c r="I485">
        <v>25</v>
      </c>
      <c r="J485">
        <v>2</v>
      </c>
      <c r="K485">
        <v>10</v>
      </c>
      <c r="L485" s="1">
        <v>44356</v>
      </c>
      <c r="M485" s="1">
        <v>44611</v>
      </c>
      <c r="N485" t="s">
        <v>50</v>
      </c>
    </row>
    <row r="486" spans="1:14" x14ac:dyDescent="0.25">
      <c r="A486">
        <v>1485</v>
      </c>
      <c r="B486">
        <v>29</v>
      </c>
      <c r="C486" t="s">
        <v>31</v>
      </c>
      <c r="D486" t="s">
        <v>27</v>
      </c>
      <c r="E486" t="s">
        <v>12</v>
      </c>
      <c r="F486" t="s">
        <v>15</v>
      </c>
      <c r="G486">
        <v>67202</v>
      </c>
      <c r="H486">
        <v>15</v>
      </c>
      <c r="I486">
        <v>24</v>
      </c>
      <c r="J486">
        <v>3</v>
      </c>
      <c r="K486">
        <v>4</v>
      </c>
      <c r="L486" s="1">
        <v>43690</v>
      </c>
      <c r="M486" s="1">
        <v>44687</v>
      </c>
      <c r="N486" t="s">
        <v>50</v>
      </c>
    </row>
    <row r="487" spans="1:14" x14ac:dyDescent="0.25">
      <c r="A487">
        <v>1486</v>
      </c>
      <c r="B487">
        <v>27</v>
      </c>
      <c r="C487" t="s">
        <v>31</v>
      </c>
      <c r="D487" t="s">
        <v>13</v>
      </c>
      <c r="E487" t="s">
        <v>14</v>
      </c>
      <c r="F487" t="s">
        <v>18</v>
      </c>
      <c r="G487">
        <v>89636</v>
      </c>
      <c r="H487">
        <v>22</v>
      </c>
      <c r="I487">
        <v>56</v>
      </c>
      <c r="J487">
        <v>2</v>
      </c>
      <c r="K487">
        <v>8</v>
      </c>
      <c r="L487" s="1">
        <v>43427</v>
      </c>
      <c r="M487" s="1">
        <v>44449</v>
      </c>
      <c r="N487" t="s">
        <v>50</v>
      </c>
    </row>
    <row r="488" spans="1:14" x14ac:dyDescent="0.25">
      <c r="A488">
        <v>1487</v>
      </c>
      <c r="B488">
        <v>28</v>
      </c>
      <c r="C488" t="s">
        <v>31</v>
      </c>
      <c r="D488" t="s">
        <v>22</v>
      </c>
      <c r="E488" t="s">
        <v>25</v>
      </c>
      <c r="F488" t="s">
        <v>29</v>
      </c>
      <c r="G488">
        <v>96913</v>
      </c>
      <c r="H488">
        <v>4</v>
      </c>
      <c r="I488">
        <v>38</v>
      </c>
      <c r="J488">
        <v>5</v>
      </c>
      <c r="K488">
        <v>1</v>
      </c>
      <c r="L488" s="1">
        <v>43123</v>
      </c>
      <c r="M488" s="1">
        <v>44354</v>
      </c>
      <c r="N488" t="s">
        <v>50</v>
      </c>
    </row>
    <row r="489" spans="1:14" x14ac:dyDescent="0.25">
      <c r="A489">
        <v>1488</v>
      </c>
      <c r="B489">
        <v>30</v>
      </c>
      <c r="C489" t="s">
        <v>31</v>
      </c>
      <c r="D489" t="s">
        <v>23</v>
      </c>
      <c r="E489" t="s">
        <v>20</v>
      </c>
      <c r="F489" t="s">
        <v>45</v>
      </c>
      <c r="G489">
        <v>84510</v>
      </c>
      <c r="H489">
        <v>30</v>
      </c>
      <c r="I489">
        <v>37</v>
      </c>
      <c r="J489">
        <v>5</v>
      </c>
      <c r="K489">
        <v>9</v>
      </c>
      <c r="L489" s="1">
        <v>43549</v>
      </c>
      <c r="M489" s="1">
        <v>45007</v>
      </c>
      <c r="N489" t="s">
        <v>50</v>
      </c>
    </row>
    <row r="490" spans="1:14" x14ac:dyDescent="0.25">
      <c r="A490">
        <v>1489</v>
      </c>
      <c r="B490">
        <v>48</v>
      </c>
      <c r="C490" t="s">
        <v>32</v>
      </c>
      <c r="D490" t="s">
        <v>27</v>
      </c>
      <c r="E490" t="s">
        <v>12</v>
      </c>
      <c r="F490" t="s">
        <v>21</v>
      </c>
      <c r="G490">
        <v>74370</v>
      </c>
      <c r="H490">
        <v>18</v>
      </c>
      <c r="I490">
        <v>5</v>
      </c>
      <c r="J490">
        <v>5</v>
      </c>
      <c r="K490">
        <v>9</v>
      </c>
      <c r="L490" s="1">
        <v>43575</v>
      </c>
      <c r="M490" s="1"/>
      <c r="N490" t="s">
        <v>49</v>
      </c>
    </row>
    <row r="491" spans="1:14" x14ac:dyDescent="0.25">
      <c r="A491">
        <v>1490</v>
      </c>
      <c r="B491">
        <v>46</v>
      </c>
      <c r="C491" t="s">
        <v>32</v>
      </c>
      <c r="D491" t="s">
        <v>22</v>
      </c>
      <c r="E491" t="s">
        <v>25</v>
      </c>
      <c r="F491" t="s">
        <v>18</v>
      </c>
      <c r="G491">
        <v>89076</v>
      </c>
      <c r="H491">
        <v>6</v>
      </c>
      <c r="I491">
        <v>18</v>
      </c>
      <c r="J491">
        <v>2</v>
      </c>
      <c r="K491">
        <v>3</v>
      </c>
      <c r="L491" s="1">
        <v>45173</v>
      </c>
      <c r="M491" s="1"/>
      <c r="N491" t="s">
        <v>49</v>
      </c>
    </row>
    <row r="492" spans="1:14" x14ac:dyDescent="0.25">
      <c r="A492">
        <v>1491</v>
      </c>
      <c r="B492">
        <v>49</v>
      </c>
      <c r="C492" t="s">
        <v>31</v>
      </c>
      <c r="D492" t="s">
        <v>13</v>
      </c>
      <c r="E492" t="s">
        <v>12</v>
      </c>
      <c r="F492" t="s">
        <v>17</v>
      </c>
      <c r="G492">
        <v>76579</v>
      </c>
      <c r="H492">
        <v>0</v>
      </c>
      <c r="I492">
        <v>49</v>
      </c>
      <c r="J492">
        <v>4</v>
      </c>
      <c r="K492">
        <v>7</v>
      </c>
      <c r="L492" s="1">
        <v>43780</v>
      </c>
      <c r="M492" s="1"/>
      <c r="N492" t="s">
        <v>49</v>
      </c>
    </row>
    <row r="493" spans="1:14" x14ac:dyDescent="0.25">
      <c r="A493">
        <v>1492</v>
      </c>
      <c r="B493">
        <v>21</v>
      </c>
      <c r="C493" t="s">
        <v>32</v>
      </c>
      <c r="D493" t="s">
        <v>16</v>
      </c>
      <c r="E493" t="s">
        <v>14</v>
      </c>
      <c r="F493" t="s">
        <v>17</v>
      </c>
      <c r="G493">
        <v>109091</v>
      </c>
      <c r="H493">
        <v>24</v>
      </c>
      <c r="I493">
        <v>54</v>
      </c>
      <c r="J493">
        <v>4</v>
      </c>
      <c r="K493">
        <v>9</v>
      </c>
      <c r="L493" s="1">
        <v>45497</v>
      </c>
      <c r="M493" s="1"/>
      <c r="N493" t="s">
        <v>49</v>
      </c>
    </row>
    <row r="494" spans="1:14" x14ac:dyDescent="0.25">
      <c r="A494">
        <v>1493</v>
      </c>
      <c r="B494">
        <v>27</v>
      </c>
      <c r="C494" t="s">
        <v>32</v>
      </c>
      <c r="D494" t="s">
        <v>27</v>
      </c>
      <c r="E494" t="s">
        <v>20</v>
      </c>
      <c r="F494" t="s">
        <v>29</v>
      </c>
      <c r="G494">
        <v>82604</v>
      </c>
      <c r="H494">
        <v>10</v>
      </c>
      <c r="I494">
        <v>48</v>
      </c>
      <c r="J494">
        <v>4</v>
      </c>
      <c r="K494">
        <v>9</v>
      </c>
      <c r="L494" s="1">
        <v>42007</v>
      </c>
      <c r="M494" s="1"/>
      <c r="N494" t="s">
        <v>49</v>
      </c>
    </row>
    <row r="495" spans="1:14" x14ac:dyDescent="0.25">
      <c r="A495">
        <v>1494</v>
      </c>
      <c r="B495">
        <v>36</v>
      </c>
      <c r="C495" t="s">
        <v>31</v>
      </c>
      <c r="D495" t="s">
        <v>13</v>
      </c>
      <c r="E495" t="s">
        <v>14</v>
      </c>
      <c r="F495" t="s">
        <v>18</v>
      </c>
      <c r="G495">
        <v>94072</v>
      </c>
      <c r="H495">
        <v>5</v>
      </c>
      <c r="I495">
        <v>12</v>
      </c>
      <c r="J495">
        <v>4</v>
      </c>
      <c r="K495">
        <v>3</v>
      </c>
      <c r="L495" s="1">
        <v>42244</v>
      </c>
      <c r="M495" s="1"/>
      <c r="N495" t="s">
        <v>49</v>
      </c>
    </row>
    <row r="496" spans="1:14" x14ac:dyDescent="0.25">
      <c r="A496">
        <v>1495</v>
      </c>
      <c r="B496">
        <v>32</v>
      </c>
      <c r="C496" t="s">
        <v>31</v>
      </c>
      <c r="D496" t="s">
        <v>22</v>
      </c>
      <c r="E496" t="s">
        <v>12</v>
      </c>
      <c r="F496" t="s">
        <v>29</v>
      </c>
      <c r="G496">
        <v>51694</v>
      </c>
      <c r="H496">
        <v>29</v>
      </c>
      <c r="I496">
        <v>8</v>
      </c>
      <c r="J496">
        <v>2</v>
      </c>
      <c r="K496">
        <v>10</v>
      </c>
      <c r="L496" s="1">
        <v>43490</v>
      </c>
      <c r="M496" s="1"/>
      <c r="N496" t="s">
        <v>49</v>
      </c>
    </row>
    <row r="497" spans="1:14" x14ac:dyDescent="0.25">
      <c r="A497">
        <v>1496</v>
      </c>
      <c r="B497">
        <v>58</v>
      </c>
      <c r="C497" t="s">
        <v>32</v>
      </c>
      <c r="D497" t="s">
        <v>22</v>
      </c>
      <c r="E497" t="s">
        <v>20</v>
      </c>
      <c r="F497" t="s">
        <v>45</v>
      </c>
      <c r="G497">
        <v>78453</v>
      </c>
      <c r="H497">
        <v>10</v>
      </c>
      <c r="I497">
        <v>0</v>
      </c>
      <c r="J497">
        <v>4</v>
      </c>
      <c r="K497">
        <v>8</v>
      </c>
      <c r="L497" s="1">
        <v>45482</v>
      </c>
      <c r="M497" s="1"/>
      <c r="N497" t="s">
        <v>49</v>
      </c>
    </row>
    <row r="498" spans="1:14" x14ac:dyDescent="0.25">
      <c r="A498">
        <v>1497</v>
      </c>
      <c r="B498">
        <v>60</v>
      </c>
      <c r="C498" t="s">
        <v>31</v>
      </c>
      <c r="D498" t="s">
        <v>22</v>
      </c>
      <c r="E498" t="s">
        <v>20</v>
      </c>
      <c r="F498" t="s">
        <v>18</v>
      </c>
      <c r="G498">
        <v>59543</v>
      </c>
      <c r="H498">
        <v>29</v>
      </c>
      <c r="I498">
        <v>2</v>
      </c>
      <c r="J498">
        <v>4</v>
      </c>
      <c r="K498">
        <v>8</v>
      </c>
      <c r="L498" s="1">
        <v>42752</v>
      </c>
      <c r="M498" s="1"/>
      <c r="N498" t="s">
        <v>49</v>
      </c>
    </row>
    <row r="499" spans="1:14" x14ac:dyDescent="0.25">
      <c r="A499">
        <v>1498</v>
      </c>
      <c r="B499">
        <v>38</v>
      </c>
      <c r="C499" t="s">
        <v>32</v>
      </c>
      <c r="D499" t="s">
        <v>23</v>
      </c>
      <c r="E499" t="s">
        <v>25</v>
      </c>
      <c r="F499" t="s">
        <v>29</v>
      </c>
      <c r="G499">
        <v>77835</v>
      </c>
      <c r="H499">
        <v>20</v>
      </c>
      <c r="I499">
        <v>7</v>
      </c>
      <c r="K499">
        <v>7</v>
      </c>
      <c r="L499" s="1">
        <v>44562</v>
      </c>
      <c r="M499" s="1"/>
      <c r="N499" t="s">
        <v>49</v>
      </c>
    </row>
    <row r="500" spans="1:14" x14ac:dyDescent="0.25">
      <c r="A500">
        <v>1499</v>
      </c>
      <c r="B500">
        <v>41</v>
      </c>
      <c r="C500" t="s">
        <v>32</v>
      </c>
      <c r="D500" t="s">
        <v>27</v>
      </c>
      <c r="E500" t="s">
        <v>25</v>
      </c>
      <c r="F500" t="s">
        <v>26</v>
      </c>
      <c r="G500">
        <v>69438</v>
      </c>
      <c r="H500">
        <v>1</v>
      </c>
      <c r="I500">
        <v>47</v>
      </c>
      <c r="J500">
        <v>3</v>
      </c>
      <c r="K500">
        <v>4</v>
      </c>
      <c r="L500" s="1">
        <v>43435</v>
      </c>
      <c r="M500" s="1"/>
      <c r="N500" t="s">
        <v>49</v>
      </c>
    </row>
    <row r="501" spans="1:14" x14ac:dyDescent="0.25">
      <c r="A501">
        <v>1500</v>
      </c>
      <c r="B501">
        <v>58</v>
      </c>
      <c r="C501" t="s">
        <v>31</v>
      </c>
      <c r="D501" t="s">
        <v>13</v>
      </c>
      <c r="E501" t="s">
        <v>12</v>
      </c>
      <c r="F501" t="s">
        <v>26</v>
      </c>
      <c r="G501">
        <v>53593</v>
      </c>
      <c r="H501">
        <v>29</v>
      </c>
      <c r="I501">
        <v>49</v>
      </c>
      <c r="K501">
        <v>4</v>
      </c>
      <c r="L501" s="1">
        <v>43732</v>
      </c>
      <c r="M501" s="1"/>
      <c r="N501" t="s">
        <v>49</v>
      </c>
    </row>
    <row r="502" spans="1:14" x14ac:dyDescent="0.25">
      <c r="A502">
        <v>1501</v>
      </c>
      <c r="B502">
        <v>23</v>
      </c>
      <c r="C502" t="s">
        <v>32</v>
      </c>
      <c r="D502" t="s">
        <v>22</v>
      </c>
      <c r="E502" t="s">
        <v>25</v>
      </c>
      <c r="F502" t="s">
        <v>18</v>
      </c>
      <c r="G502">
        <v>87381</v>
      </c>
      <c r="H502">
        <v>0</v>
      </c>
      <c r="I502">
        <v>29</v>
      </c>
      <c r="K502">
        <v>10</v>
      </c>
      <c r="L502" s="1">
        <v>42675</v>
      </c>
      <c r="M502" s="1"/>
      <c r="N502" t="s">
        <v>49</v>
      </c>
    </row>
    <row r="503" spans="1:14" x14ac:dyDescent="0.25">
      <c r="A503">
        <v>1502</v>
      </c>
      <c r="B503">
        <v>51</v>
      </c>
      <c r="C503" t="s">
        <v>32</v>
      </c>
      <c r="D503" t="s">
        <v>23</v>
      </c>
      <c r="E503" t="s">
        <v>20</v>
      </c>
      <c r="F503" t="s">
        <v>29</v>
      </c>
      <c r="G503">
        <v>73886</v>
      </c>
      <c r="H503">
        <v>4</v>
      </c>
      <c r="I503">
        <v>18</v>
      </c>
      <c r="J503">
        <v>5</v>
      </c>
      <c r="K503">
        <v>10</v>
      </c>
      <c r="L503" s="1">
        <v>44191</v>
      </c>
      <c r="M503" s="1"/>
      <c r="N503" t="s">
        <v>49</v>
      </c>
    </row>
    <row r="504" spans="1:14" x14ac:dyDescent="0.25">
      <c r="A504">
        <v>1503</v>
      </c>
      <c r="B504">
        <v>27</v>
      </c>
      <c r="C504" t="s">
        <v>31</v>
      </c>
      <c r="D504" t="s">
        <v>19</v>
      </c>
      <c r="E504" t="s">
        <v>20</v>
      </c>
      <c r="F504" t="s">
        <v>15</v>
      </c>
      <c r="G504">
        <v>50715</v>
      </c>
      <c r="H504">
        <v>28</v>
      </c>
      <c r="I504">
        <v>36</v>
      </c>
      <c r="J504">
        <v>1</v>
      </c>
      <c r="K504">
        <v>1</v>
      </c>
      <c r="L504" s="1">
        <v>44874</v>
      </c>
      <c r="M504" s="1"/>
      <c r="N504" t="s">
        <v>49</v>
      </c>
    </row>
    <row r="505" spans="1:14" x14ac:dyDescent="0.25">
      <c r="A505">
        <v>1504</v>
      </c>
      <c r="B505">
        <v>48</v>
      </c>
      <c r="C505" t="s">
        <v>32</v>
      </c>
      <c r="D505" t="s">
        <v>13</v>
      </c>
      <c r="E505" t="s">
        <v>28</v>
      </c>
      <c r="F505" t="s">
        <v>45</v>
      </c>
      <c r="G505">
        <v>84272</v>
      </c>
      <c r="H505">
        <v>3</v>
      </c>
      <c r="I505">
        <v>45</v>
      </c>
      <c r="J505">
        <v>4</v>
      </c>
      <c r="K505">
        <v>1</v>
      </c>
      <c r="L505" s="1">
        <v>42433</v>
      </c>
      <c r="M505" s="1">
        <v>43978</v>
      </c>
      <c r="N505" t="s">
        <v>50</v>
      </c>
    </row>
    <row r="506" spans="1:14" x14ac:dyDescent="0.25">
      <c r="A506">
        <v>1505</v>
      </c>
      <c r="B506">
        <v>58</v>
      </c>
      <c r="C506" t="s">
        <v>31</v>
      </c>
      <c r="D506" t="s">
        <v>13</v>
      </c>
      <c r="E506" t="s">
        <v>28</v>
      </c>
      <c r="F506" t="s">
        <v>29</v>
      </c>
      <c r="G506">
        <v>79217</v>
      </c>
      <c r="H506">
        <v>12</v>
      </c>
      <c r="I506">
        <v>29</v>
      </c>
      <c r="J506">
        <v>3</v>
      </c>
      <c r="K506">
        <v>2</v>
      </c>
      <c r="L506" s="1">
        <v>44689</v>
      </c>
      <c r="M506" s="1">
        <v>45105</v>
      </c>
      <c r="N506" t="s">
        <v>50</v>
      </c>
    </row>
    <row r="507" spans="1:14" x14ac:dyDescent="0.25">
      <c r="A507">
        <v>1506</v>
      </c>
      <c r="B507">
        <v>45</v>
      </c>
      <c r="C507" t="s">
        <v>31</v>
      </c>
      <c r="D507" t="s">
        <v>23</v>
      </c>
      <c r="E507" t="s">
        <v>25</v>
      </c>
      <c r="F507" t="s">
        <v>18</v>
      </c>
      <c r="G507">
        <v>68131</v>
      </c>
      <c r="H507">
        <v>14</v>
      </c>
      <c r="I507">
        <v>17</v>
      </c>
      <c r="J507">
        <v>1</v>
      </c>
      <c r="K507">
        <v>4</v>
      </c>
      <c r="L507" s="1">
        <v>42546</v>
      </c>
      <c r="M507" s="1"/>
      <c r="N507" t="s">
        <v>49</v>
      </c>
    </row>
    <row r="508" spans="1:14" x14ac:dyDescent="0.25">
      <c r="A508">
        <v>1507</v>
      </c>
      <c r="B508">
        <v>47</v>
      </c>
      <c r="C508" t="s">
        <v>32</v>
      </c>
      <c r="D508" t="s">
        <v>13</v>
      </c>
      <c r="E508" t="s">
        <v>28</v>
      </c>
      <c r="F508" t="s">
        <v>21</v>
      </c>
      <c r="G508">
        <v>89553</v>
      </c>
      <c r="H508">
        <v>0</v>
      </c>
      <c r="I508">
        <v>58</v>
      </c>
      <c r="J508">
        <v>5</v>
      </c>
      <c r="K508">
        <v>1</v>
      </c>
      <c r="L508" s="1">
        <v>43367</v>
      </c>
      <c r="M508" s="1"/>
      <c r="N508" t="s">
        <v>49</v>
      </c>
    </row>
    <row r="509" spans="1:14" x14ac:dyDescent="0.25">
      <c r="A509">
        <v>1508</v>
      </c>
      <c r="B509">
        <v>50</v>
      </c>
      <c r="C509" t="s">
        <v>32</v>
      </c>
      <c r="D509" t="s">
        <v>22</v>
      </c>
      <c r="E509" t="s">
        <v>20</v>
      </c>
      <c r="F509" t="s">
        <v>29</v>
      </c>
      <c r="G509">
        <v>108528</v>
      </c>
      <c r="H509">
        <v>5</v>
      </c>
      <c r="I509">
        <v>47</v>
      </c>
      <c r="J509">
        <v>1</v>
      </c>
      <c r="K509">
        <v>5</v>
      </c>
      <c r="L509" s="1">
        <v>43389</v>
      </c>
      <c r="M509" s="1"/>
      <c r="N509" t="s">
        <v>49</v>
      </c>
    </row>
    <row r="510" spans="1:14" x14ac:dyDescent="0.25">
      <c r="A510">
        <v>1509</v>
      </c>
      <c r="B510">
        <v>31</v>
      </c>
      <c r="C510" t="s">
        <v>32</v>
      </c>
      <c r="D510" t="s">
        <v>27</v>
      </c>
      <c r="E510" t="s">
        <v>28</v>
      </c>
      <c r="F510" t="s">
        <v>29</v>
      </c>
      <c r="G510">
        <v>53401</v>
      </c>
      <c r="H510">
        <v>4</v>
      </c>
      <c r="I510">
        <v>52</v>
      </c>
      <c r="K510">
        <v>10</v>
      </c>
      <c r="L510" s="1">
        <v>42363</v>
      </c>
      <c r="M510" s="1">
        <v>44643</v>
      </c>
      <c r="N510" t="s">
        <v>50</v>
      </c>
    </row>
    <row r="511" spans="1:14" x14ac:dyDescent="0.25">
      <c r="A511">
        <v>1510</v>
      </c>
      <c r="B511">
        <v>59</v>
      </c>
      <c r="C511" t="s">
        <v>32</v>
      </c>
      <c r="D511" t="s">
        <v>16</v>
      </c>
      <c r="E511" t="s">
        <v>25</v>
      </c>
      <c r="F511" t="s">
        <v>45</v>
      </c>
      <c r="G511">
        <v>83115</v>
      </c>
      <c r="H511">
        <v>24</v>
      </c>
      <c r="I511">
        <v>47</v>
      </c>
      <c r="J511">
        <v>1</v>
      </c>
      <c r="K511">
        <v>7</v>
      </c>
      <c r="L511" s="1">
        <v>44070</v>
      </c>
      <c r="M511" s="1"/>
      <c r="N511" t="s">
        <v>49</v>
      </c>
    </row>
    <row r="512" spans="1:14" x14ac:dyDescent="0.25">
      <c r="A512">
        <v>1511</v>
      </c>
      <c r="B512">
        <v>50</v>
      </c>
      <c r="C512" t="s">
        <v>32</v>
      </c>
      <c r="D512" t="s">
        <v>27</v>
      </c>
      <c r="E512" t="s">
        <v>25</v>
      </c>
      <c r="F512" t="s">
        <v>17</v>
      </c>
      <c r="G512">
        <v>81316</v>
      </c>
      <c r="H512">
        <v>14</v>
      </c>
      <c r="I512">
        <v>3</v>
      </c>
      <c r="J512">
        <v>5</v>
      </c>
      <c r="K512">
        <v>4</v>
      </c>
      <c r="L512" s="1">
        <v>44994</v>
      </c>
      <c r="M512" s="1"/>
      <c r="N512" t="s">
        <v>49</v>
      </c>
    </row>
    <row r="513" spans="1:14" x14ac:dyDescent="0.25">
      <c r="A513">
        <v>1512</v>
      </c>
      <c r="B513">
        <v>23</v>
      </c>
      <c r="C513" t="s">
        <v>31</v>
      </c>
      <c r="D513" t="s">
        <v>16</v>
      </c>
      <c r="E513" t="s">
        <v>14</v>
      </c>
      <c r="F513" t="s">
        <v>45</v>
      </c>
      <c r="G513">
        <v>101847</v>
      </c>
      <c r="H513">
        <v>22</v>
      </c>
      <c r="I513">
        <v>53</v>
      </c>
      <c r="K513">
        <v>8</v>
      </c>
      <c r="L513" s="1">
        <v>43917</v>
      </c>
      <c r="M513" s="1"/>
      <c r="N513" t="s">
        <v>49</v>
      </c>
    </row>
    <row r="514" spans="1:14" x14ac:dyDescent="0.25">
      <c r="A514">
        <v>1513</v>
      </c>
      <c r="B514">
        <v>53</v>
      </c>
      <c r="C514" t="s">
        <v>32</v>
      </c>
      <c r="D514" t="s">
        <v>27</v>
      </c>
      <c r="E514" t="s">
        <v>20</v>
      </c>
      <c r="F514" t="s">
        <v>15</v>
      </c>
      <c r="G514">
        <v>81259</v>
      </c>
      <c r="H514">
        <v>27</v>
      </c>
      <c r="I514">
        <v>60</v>
      </c>
      <c r="J514">
        <v>5</v>
      </c>
      <c r="K514">
        <v>2</v>
      </c>
      <c r="L514" s="1">
        <v>43481</v>
      </c>
      <c r="M514" s="1"/>
      <c r="N514" t="s">
        <v>49</v>
      </c>
    </row>
    <row r="515" spans="1:14" x14ac:dyDescent="0.25">
      <c r="A515">
        <v>1514</v>
      </c>
      <c r="B515">
        <v>55</v>
      </c>
      <c r="C515" t="s">
        <v>31</v>
      </c>
      <c r="D515" t="s">
        <v>22</v>
      </c>
      <c r="E515" t="s">
        <v>14</v>
      </c>
      <c r="F515" t="s">
        <v>45</v>
      </c>
      <c r="G515">
        <v>56899</v>
      </c>
      <c r="H515">
        <v>8</v>
      </c>
      <c r="I515">
        <v>27</v>
      </c>
      <c r="J515">
        <v>4</v>
      </c>
      <c r="K515">
        <v>4</v>
      </c>
      <c r="L515" s="1">
        <v>43047</v>
      </c>
      <c r="M515" s="1"/>
      <c r="N515" t="s">
        <v>49</v>
      </c>
    </row>
    <row r="516" spans="1:14" x14ac:dyDescent="0.25">
      <c r="A516">
        <v>1515</v>
      </c>
      <c r="B516">
        <v>27</v>
      </c>
      <c r="C516" t="s">
        <v>31</v>
      </c>
      <c r="D516" t="s">
        <v>22</v>
      </c>
      <c r="E516" t="s">
        <v>20</v>
      </c>
      <c r="F516" t="s">
        <v>15</v>
      </c>
      <c r="G516">
        <v>84395</v>
      </c>
      <c r="H516">
        <v>9</v>
      </c>
      <c r="I516">
        <v>55</v>
      </c>
      <c r="K516">
        <v>6</v>
      </c>
      <c r="L516" s="1">
        <v>43622</v>
      </c>
      <c r="M516" s="1"/>
      <c r="N516" t="s">
        <v>49</v>
      </c>
    </row>
    <row r="517" spans="1:14" x14ac:dyDescent="0.25">
      <c r="A517">
        <v>1516</v>
      </c>
      <c r="B517">
        <v>47</v>
      </c>
      <c r="C517" t="s">
        <v>31</v>
      </c>
      <c r="D517" t="s">
        <v>23</v>
      </c>
      <c r="E517" t="s">
        <v>14</v>
      </c>
      <c r="F517" t="s">
        <v>21</v>
      </c>
      <c r="G517">
        <v>56902</v>
      </c>
      <c r="H517">
        <v>28</v>
      </c>
      <c r="I517">
        <v>31</v>
      </c>
      <c r="J517">
        <v>3</v>
      </c>
      <c r="K517">
        <v>9</v>
      </c>
      <c r="L517" s="1">
        <v>42737</v>
      </c>
      <c r="M517" s="1"/>
      <c r="N517" t="s">
        <v>49</v>
      </c>
    </row>
    <row r="518" spans="1:14" x14ac:dyDescent="0.25">
      <c r="A518">
        <v>1517</v>
      </c>
      <c r="B518">
        <v>45</v>
      </c>
      <c r="C518" t="s">
        <v>31</v>
      </c>
      <c r="D518" t="s">
        <v>27</v>
      </c>
      <c r="E518" t="s">
        <v>14</v>
      </c>
      <c r="F518" t="s">
        <v>21</v>
      </c>
      <c r="G518">
        <v>57775</v>
      </c>
      <c r="H518">
        <v>7</v>
      </c>
      <c r="I518">
        <v>51</v>
      </c>
      <c r="K518">
        <v>2</v>
      </c>
      <c r="L518" s="1">
        <v>44688</v>
      </c>
      <c r="M518" s="1"/>
      <c r="N518" t="s">
        <v>49</v>
      </c>
    </row>
    <row r="519" spans="1:14" x14ac:dyDescent="0.25">
      <c r="A519">
        <v>1518</v>
      </c>
      <c r="B519">
        <v>24</v>
      </c>
      <c r="C519" t="s">
        <v>32</v>
      </c>
      <c r="D519" t="s">
        <v>13</v>
      </c>
      <c r="E519" t="s">
        <v>25</v>
      </c>
      <c r="F519" t="s">
        <v>29</v>
      </c>
      <c r="G519">
        <v>95658</v>
      </c>
      <c r="H519">
        <v>26</v>
      </c>
      <c r="I519">
        <v>41</v>
      </c>
      <c r="J519">
        <v>2</v>
      </c>
      <c r="K519">
        <v>1</v>
      </c>
      <c r="L519" s="1">
        <v>45073</v>
      </c>
      <c r="M519" s="1">
        <v>45551</v>
      </c>
      <c r="N519" t="s">
        <v>50</v>
      </c>
    </row>
    <row r="520" spans="1:14" x14ac:dyDescent="0.25">
      <c r="A520">
        <v>1519</v>
      </c>
      <c r="B520">
        <v>46</v>
      </c>
      <c r="C520" t="s">
        <v>32</v>
      </c>
      <c r="D520" t="s">
        <v>22</v>
      </c>
      <c r="E520" t="s">
        <v>25</v>
      </c>
      <c r="F520" t="s">
        <v>17</v>
      </c>
      <c r="G520">
        <v>75100</v>
      </c>
      <c r="H520">
        <v>17</v>
      </c>
      <c r="I520">
        <v>1</v>
      </c>
      <c r="K520">
        <v>9</v>
      </c>
      <c r="L520" s="1">
        <v>44275</v>
      </c>
      <c r="M520" s="1"/>
      <c r="N520" t="s">
        <v>49</v>
      </c>
    </row>
    <row r="521" spans="1:14" x14ac:dyDescent="0.25">
      <c r="A521">
        <v>1520</v>
      </c>
      <c r="B521">
        <v>35</v>
      </c>
      <c r="C521" t="s">
        <v>31</v>
      </c>
      <c r="D521" t="s">
        <v>22</v>
      </c>
      <c r="E521" t="s">
        <v>12</v>
      </c>
      <c r="F521" t="s">
        <v>15</v>
      </c>
      <c r="G521">
        <v>53271</v>
      </c>
      <c r="H521">
        <v>3</v>
      </c>
      <c r="I521">
        <v>1</v>
      </c>
      <c r="J521">
        <v>4</v>
      </c>
      <c r="K521">
        <v>9</v>
      </c>
      <c r="L521" s="1">
        <v>44433</v>
      </c>
      <c r="M521" s="1"/>
      <c r="N521" t="s">
        <v>49</v>
      </c>
    </row>
    <row r="522" spans="1:14" x14ac:dyDescent="0.25">
      <c r="A522">
        <v>1521</v>
      </c>
      <c r="B522">
        <v>55</v>
      </c>
      <c r="C522" t="s">
        <v>32</v>
      </c>
      <c r="D522" t="s">
        <v>16</v>
      </c>
      <c r="E522" t="s">
        <v>20</v>
      </c>
      <c r="F522" t="s">
        <v>26</v>
      </c>
      <c r="G522">
        <v>79732</v>
      </c>
      <c r="H522">
        <v>9</v>
      </c>
      <c r="I522">
        <v>7</v>
      </c>
      <c r="J522">
        <v>5</v>
      </c>
      <c r="K522">
        <v>8</v>
      </c>
      <c r="L522" s="1">
        <v>44243</v>
      </c>
      <c r="M522" s="1">
        <v>42898</v>
      </c>
      <c r="N522" t="s">
        <v>50</v>
      </c>
    </row>
    <row r="523" spans="1:14" x14ac:dyDescent="0.25">
      <c r="A523">
        <v>1522</v>
      </c>
      <c r="B523">
        <v>54</v>
      </c>
      <c r="C523" t="s">
        <v>32</v>
      </c>
      <c r="D523" t="s">
        <v>19</v>
      </c>
      <c r="E523" t="s">
        <v>25</v>
      </c>
      <c r="F523" t="s">
        <v>18</v>
      </c>
      <c r="G523">
        <v>79358</v>
      </c>
      <c r="H523">
        <v>21</v>
      </c>
      <c r="I523">
        <v>36</v>
      </c>
      <c r="J523">
        <v>5</v>
      </c>
      <c r="K523">
        <v>7</v>
      </c>
      <c r="L523" s="1">
        <v>44229</v>
      </c>
      <c r="M523" s="1"/>
      <c r="N523" t="s">
        <v>49</v>
      </c>
    </row>
    <row r="524" spans="1:14" x14ac:dyDescent="0.25">
      <c r="A524">
        <v>1523</v>
      </c>
      <c r="B524">
        <v>24</v>
      </c>
      <c r="C524" t="s">
        <v>32</v>
      </c>
      <c r="D524" t="s">
        <v>19</v>
      </c>
      <c r="E524" t="s">
        <v>20</v>
      </c>
      <c r="F524" t="s">
        <v>45</v>
      </c>
      <c r="G524">
        <v>106159</v>
      </c>
      <c r="H524">
        <v>12</v>
      </c>
      <c r="I524">
        <v>56</v>
      </c>
      <c r="J524">
        <v>4</v>
      </c>
      <c r="K524">
        <v>7</v>
      </c>
      <c r="L524" s="1">
        <v>44174</v>
      </c>
      <c r="M524" s="1"/>
      <c r="N524" t="s">
        <v>49</v>
      </c>
    </row>
    <row r="525" spans="1:14" x14ac:dyDescent="0.25">
      <c r="A525">
        <v>1524</v>
      </c>
      <c r="B525">
        <v>22</v>
      </c>
      <c r="C525" t="s">
        <v>32</v>
      </c>
      <c r="D525" t="s">
        <v>27</v>
      </c>
      <c r="E525" t="s">
        <v>12</v>
      </c>
      <c r="F525" t="s">
        <v>26</v>
      </c>
      <c r="G525">
        <v>77120</v>
      </c>
      <c r="H525">
        <v>5</v>
      </c>
      <c r="I525">
        <v>44</v>
      </c>
      <c r="J525">
        <v>2</v>
      </c>
      <c r="K525">
        <v>6</v>
      </c>
      <c r="L525" s="1">
        <v>44609</v>
      </c>
      <c r="M525" s="1"/>
      <c r="N525" t="s">
        <v>49</v>
      </c>
    </row>
    <row r="526" spans="1:14" x14ac:dyDescent="0.25">
      <c r="A526">
        <v>1525</v>
      </c>
      <c r="B526">
        <v>43</v>
      </c>
      <c r="C526" t="s">
        <v>31</v>
      </c>
      <c r="D526" t="s">
        <v>23</v>
      </c>
      <c r="E526" t="s">
        <v>12</v>
      </c>
      <c r="F526" t="s">
        <v>45</v>
      </c>
      <c r="G526">
        <v>100542</v>
      </c>
      <c r="H526">
        <v>9</v>
      </c>
      <c r="I526">
        <v>7</v>
      </c>
      <c r="J526">
        <v>5</v>
      </c>
      <c r="K526">
        <v>7</v>
      </c>
      <c r="L526" s="1">
        <v>44053</v>
      </c>
      <c r="M526" s="1">
        <v>42584</v>
      </c>
      <c r="N526" t="s">
        <v>50</v>
      </c>
    </row>
    <row r="527" spans="1:14" x14ac:dyDescent="0.25">
      <c r="A527">
        <v>1526</v>
      </c>
      <c r="B527">
        <v>37</v>
      </c>
      <c r="C527" t="s">
        <v>32</v>
      </c>
      <c r="D527" t="s">
        <v>22</v>
      </c>
      <c r="E527" t="s">
        <v>25</v>
      </c>
      <c r="F527" t="s">
        <v>26</v>
      </c>
      <c r="G527">
        <v>82517</v>
      </c>
      <c r="H527">
        <v>18</v>
      </c>
      <c r="I527">
        <v>38</v>
      </c>
      <c r="J527">
        <v>3</v>
      </c>
      <c r="K527">
        <v>3</v>
      </c>
      <c r="L527" s="1">
        <v>44361</v>
      </c>
      <c r="M527" s="1"/>
      <c r="N527" t="s">
        <v>49</v>
      </c>
    </row>
    <row r="528" spans="1:14" x14ac:dyDescent="0.25">
      <c r="A528">
        <v>1527</v>
      </c>
      <c r="B528">
        <v>46</v>
      </c>
      <c r="C528" t="s">
        <v>32</v>
      </c>
      <c r="D528" t="s">
        <v>27</v>
      </c>
      <c r="E528" t="s">
        <v>20</v>
      </c>
      <c r="F528" t="s">
        <v>15</v>
      </c>
      <c r="G528">
        <v>61685</v>
      </c>
      <c r="H528">
        <v>2</v>
      </c>
      <c r="I528">
        <v>7</v>
      </c>
      <c r="K528">
        <v>10</v>
      </c>
      <c r="L528" s="1">
        <v>42962</v>
      </c>
      <c r="M528" s="1"/>
      <c r="N528" t="s">
        <v>49</v>
      </c>
    </row>
    <row r="529" spans="1:14" x14ac:dyDescent="0.25">
      <c r="A529">
        <v>1528</v>
      </c>
      <c r="B529">
        <v>29</v>
      </c>
      <c r="C529" t="s">
        <v>31</v>
      </c>
      <c r="D529" t="s">
        <v>22</v>
      </c>
      <c r="E529" t="s">
        <v>14</v>
      </c>
      <c r="F529" t="s">
        <v>26</v>
      </c>
      <c r="G529">
        <v>81827</v>
      </c>
      <c r="H529">
        <v>1</v>
      </c>
      <c r="I529">
        <v>20</v>
      </c>
      <c r="J529">
        <v>1</v>
      </c>
      <c r="K529">
        <v>5</v>
      </c>
      <c r="L529" s="1">
        <v>43167</v>
      </c>
      <c r="M529" s="1"/>
      <c r="N529" t="s">
        <v>49</v>
      </c>
    </row>
    <row r="530" spans="1:14" x14ac:dyDescent="0.25">
      <c r="A530">
        <v>1529</v>
      </c>
      <c r="B530">
        <v>26</v>
      </c>
      <c r="C530" t="s">
        <v>31</v>
      </c>
      <c r="D530" t="s">
        <v>27</v>
      </c>
      <c r="E530" t="s">
        <v>25</v>
      </c>
      <c r="F530" t="s">
        <v>15</v>
      </c>
      <c r="G530">
        <v>75849</v>
      </c>
      <c r="H530">
        <v>26</v>
      </c>
      <c r="I530">
        <v>56</v>
      </c>
      <c r="J530">
        <v>3</v>
      </c>
      <c r="K530">
        <v>3</v>
      </c>
      <c r="L530" s="1">
        <v>43542</v>
      </c>
      <c r="M530" s="1">
        <v>45390</v>
      </c>
      <c r="N530" t="s">
        <v>50</v>
      </c>
    </row>
    <row r="531" spans="1:14" x14ac:dyDescent="0.25">
      <c r="A531">
        <v>1530</v>
      </c>
      <c r="B531">
        <v>23</v>
      </c>
      <c r="C531" t="s">
        <v>31</v>
      </c>
      <c r="D531" t="s">
        <v>23</v>
      </c>
      <c r="E531" t="s">
        <v>14</v>
      </c>
      <c r="F531" t="s">
        <v>21</v>
      </c>
      <c r="G531">
        <v>72486</v>
      </c>
      <c r="H531">
        <v>17</v>
      </c>
      <c r="I531">
        <v>53</v>
      </c>
      <c r="J531">
        <v>1</v>
      </c>
      <c r="K531">
        <v>4</v>
      </c>
      <c r="L531" s="1">
        <v>43872</v>
      </c>
      <c r="M531" s="1"/>
      <c r="N531" t="s">
        <v>49</v>
      </c>
    </row>
    <row r="532" spans="1:14" x14ac:dyDescent="0.25">
      <c r="A532">
        <v>1531</v>
      </c>
      <c r="B532">
        <v>23</v>
      </c>
      <c r="C532" t="s">
        <v>32</v>
      </c>
      <c r="D532" t="s">
        <v>19</v>
      </c>
      <c r="E532" t="s">
        <v>28</v>
      </c>
      <c r="F532" t="s">
        <v>15</v>
      </c>
      <c r="G532">
        <v>48420</v>
      </c>
      <c r="H532">
        <v>15</v>
      </c>
      <c r="I532">
        <v>34</v>
      </c>
      <c r="J532">
        <v>5</v>
      </c>
      <c r="K532">
        <v>7</v>
      </c>
      <c r="L532" s="1">
        <v>43389</v>
      </c>
      <c r="M532" s="1">
        <v>43137</v>
      </c>
      <c r="N532" t="s">
        <v>50</v>
      </c>
    </row>
    <row r="533" spans="1:14" x14ac:dyDescent="0.25">
      <c r="A533">
        <v>1532</v>
      </c>
      <c r="B533">
        <v>52</v>
      </c>
      <c r="C533" t="s">
        <v>32</v>
      </c>
      <c r="D533" t="s">
        <v>13</v>
      </c>
      <c r="E533" t="s">
        <v>12</v>
      </c>
      <c r="F533" t="s">
        <v>18</v>
      </c>
      <c r="G533">
        <v>104102</v>
      </c>
      <c r="H533">
        <v>5</v>
      </c>
      <c r="I533">
        <v>49</v>
      </c>
      <c r="J533">
        <v>4</v>
      </c>
      <c r="K533">
        <v>5</v>
      </c>
      <c r="L533" s="1">
        <v>43747</v>
      </c>
      <c r="M533" s="1"/>
      <c r="N533" t="s">
        <v>49</v>
      </c>
    </row>
    <row r="534" spans="1:14" x14ac:dyDescent="0.25">
      <c r="A534">
        <v>1533</v>
      </c>
      <c r="B534">
        <v>25</v>
      </c>
      <c r="C534" t="s">
        <v>31</v>
      </c>
      <c r="D534" t="s">
        <v>23</v>
      </c>
      <c r="E534" t="s">
        <v>20</v>
      </c>
      <c r="F534" t="s">
        <v>29</v>
      </c>
      <c r="G534">
        <v>62225</v>
      </c>
      <c r="H534">
        <v>0</v>
      </c>
      <c r="I534">
        <v>6</v>
      </c>
      <c r="J534">
        <v>3</v>
      </c>
      <c r="K534">
        <v>7</v>
      </c>
      <c r="L534" s="1">
        <v>42702</v>
      </c>
      <c r="M534" s="1"/>
      <c r="N534" t="s">
        <v>49</v>
      </c>
    </row>
    <row r="535" spans="1:14" x14ac:dyDescent="0.25">
      <c r="A535">
        <v>1534</v>
      </c>
      <c r="B535">
        <v>35</v>
      </c>
      <c r="C535" t="s">
        <v>32</v>
      </c>
      <c r="D535" t="s">
        <v>19</v>
      </c>
      <c r="E535" t="s">
        <v>25</v>
      </c>
      <c r="F535" t="s">
        <v>18</v>
      </c>
      <c r="G535">
        <v>86033</v>
      </c>
      <c r="H535">
        <v>24</v>
      </c>
      <c r="I535">
        <v>31</v>
      </c>
      <c r="J535">
        <v>5</v>
      </c>
      <c r="K535">
        <v>3</v>
      </c>
      <c r="L535" s="1">
        <v>42647</v>
      </c>
      <c r="M535" s="1">
        <v>42797</v>
      </c>
      <c r="N535" t="s">
        <v>50</v>
      </c>
    </row>
    <row r="536" spans="1:14" x14ac:dyDescent="0.25">
      <c r="A536">
        <v>1535</v>
      </c>
      <c r="B536">
        <v>43</v>
      </c>
      <c r="C536" t="s">
        <v>31</v>
      </c>
      <c r="D536" t="s">
        <v>19</v>
      </c>
      <c r="E536" t="s">
        <v>14</v>
      </c>
      <c r="F536" t="s">
        <v>15</v>
      </c>
      <c r="G536">
        <v>85500</v>
      </c>
      <c r="H536">
        <v>19</v>
      </c>
      <c r="I536">
        <v>52</v>
      </c>
      <c r="K536">
        <v>7</v>
      </c>
      <c r="L536" s="1">
        <v>43787</v>
      </c>
      <c r="M536" s="1"/>
      <c r="N536" t="s">
        <v>49</v>
      </c>
    </row>
    <row r="537" spans="1:14" x14ac:dyDescent="0.25">
      <c r="A537">
        <v>1536</v>
      </c>
      <c r="B537">
        <v>55</v>
      </c>
      <c r="C537" t="s">
        <v>32</v>
      </c>
      <c r="D537" t="s">
        <v>23</v>
      </c>
      <c r="E537" t="s">
        <v>25</v>
      </c>
      <c r="F537" t="s">
        <v>29</v>
      </c>
      <c r="G537">
        <v>87505</v>
      </c>
      <c r="H537">
        <v>4</v>
      </c>
      <c r="I537">
        <v>49</v>
      </c>
      <c r="K537">
        <v>3</v>
      </c>
      <c r="L537" s="1">
        <v>42775</v>
      </c>
      <c r="M537" s="1">
        <v>44269</v>
      </c>
      <c r="N537" t="s">
        <v>50</v>
      </c>
    </row>
    <row r="538" spans="1:14" x14ac:dyDescent="0.25">
      <c r="A538">
        <v>1537</v>
      </c>
      <c r="B538">
        <v>37</v>
      </c>
      <c r="C538" t="s">
        <v>32</v>
      </c>
      <c r="D538" t="s">
        <v>16</v>
      </c>
      <c r="E538" t="s">
        <v>14</v>
      </c>
      <c r="F538" t="s">
        <v>45</v>
      </c>
      <c r="G538">
        <v>76113</v>
      </c>
      <c r="H538">
        <v>2</v>
      </c>
      <c r="I538">
        <v>39</v>
      </c>
      <c r="J538">
        <v>5</v>
      </c>
      <c r="K538">
        <v>9</v>
      </c>
      <c r="L538" s="1">
        <v>45558</v>
      </c>
      <c r="M538" s="1">
        <v>42879</v>
      </c>
      <c r="N538" t="s">
        <v>50</v>
      </c>
    </row>
    <row r="539" spans="1:14" x14ac:dyDescent="0.25">
      <c r="A539">
        <v>1538</v>
      </c>
      <c r="B539">
        <v>39</v>
      </c>
      <c r="C539" t="s">
        <v>31</v>
      </c>
      <c r="D539" t="s">
        <v>19</v>
      </c>
      <c r="E539" t="s">
        <v>12</v>
      </c>
      <c r="F539" t="s">
        <v>15</v>
      </c>
      <c r="G539">
        <v>98337</v>
      </c>
      <c r="H539">
        <v>19</v>
      </c>
      <c r="I539">
        <v>46</v>
      </c>
      <c r="J539">
        <v>5</v>
      </c>
      <c r="K539">
        <v>3</v>
      </c>
      <c r="L539" s="1">
        <v>43500</v>
      </c>
      <c r="M539" s="1"/>
      <c r="N539" t="s">
        <v>49</v>
      </c>
    </row>
    <row r="540" spans="1:14" x14ac:dyDescent="0.25">
      <c r="A540">
        <v>1539</v>
      </c>
      <c r="B540">
        <v>39</v>
      </c>
      <c r="C540" t="s">
        <v>31</v>
      </c>
      <c r="D540" t="s">
        <v>23</v>
      </c>
      <c r="E540" t="s">
        <v>14</v>
      </c>
      <c r="F540" t="s">
        <v>17</v>
      </c>
      <c r="G540">
        <v>77510</v>
      </c>
      <c r="H540">
        <v>3</v>
      </c>
      <c r="I540">
        <v>48</v>
      </c>
      <c r="J540">
        <v>5</v>
      </c>
      <c r="K540">
        <v>9</v>
      </c>
      <c r="L540" s="1">
        <v>44557</v>
      </c>
      <c r="M540" s="1"/>
      <c r="N540" t="s">
        <v>49</v>
      </c>
    </row>
    <row r="541" spans="1:14" x14ac:dyDescent="0.25">
      <c r="A541">
        <v>1540</v>
      </c>
      <c r="B541">
        <v>57</v>
      </c>
      <c r="C541" t="s">
        <v>32</v>
      </c>
      <c r="D541" t="s">
        <v>27</v>
      </c>
      <c r="E541" t="s">
        <v>14</v>
      </c>
      <c r="F541" t="s">
        <v>15</v>
      </c>
      <c r="G541">
        <v>108446</v>
      </c>
      <c r="H541">
        <v>28</v>
      </c>
      <c r="I541">
        <v>58</v>
      </c>
      <c r="J541">
        <v>4</v>
      </c>
      <c r="K541">
        <v>8</v>
      </c>
      <c r="L541" s="1">
        <v>45121</v>
      </c>
      <c r="M541" s="1"/>
      <c r="N541" t="s">
        <v>49</v>
      </c>
    </row>
    <row r="542" spans="1:14" x14ac:dyDescent="0.25">
      <c r="A542">
        <v>1541</v>
      </c>
      <c r="B542">
        <v>26</v>
      </c>
      <c r="C542" t="s">
        <v>31</v>
      </c>
      <c r="D542" t="s">
        <v>19</v>
      </c>
      <c r="E542" t="s">
        <v>12</v>
      </c>
      <c r="F542" t="s">
        <v>15</v>
      </c>
      <c r="G542">
        <v>60333</v>
      </c>
      <c r="H542">
        <v>2</v>
      </c>
      <c r="I542">
        <v>19</v>
      </c>
      <c r="K542">
        <v>10</v>
      </c>
      <c r="L542" s="1">
        <v>44688</v>
      </c>
      <c r="M542" s="1"/>
      <c r="N542" t="s">
        <v>49</v>
      </c>
    </row>
    <row r="543" spans="1:14" x14ac:dyDescent="0.25">
      <c r="A543">
        <v>1542</v>
      </c>
      <c r="B543">
        <v>39</v>
      </c>
      <c r="C543" t="s">
        <v>31</v>
      </c>
      <c r="D543" t="s">
        <v>22</v>
      </c>
      <c r="E543" t="s">
        <v>25</v>
      </c>
      <c r="F543" t="s">
        <v>18</v>
      </c>
      <c r="G543">
        <v>78043</v>
      </c>
      <c r="H543">
        <v>30</v>
      </c>
      <c r="I543">
        <v>57</v>
      </c>
      <c r="J543">
        <v>2</v>
      </c>
      <c r="K543">
        <v>5</v>
      </c>
      <c r="L543" s="1">
        <v>45130</v>
      </c>
      <c r="M543" s="1"/>
      <c r="N543" t="s">
        <v>49</v>
      </c>
    </row>
    <row r="544" spans="1:14" x14ac:dyDescent="0.25">
      <c r="A544">
        <v>1543</v>
      </c>
      <c r="B544">
        <v>36</v>
      </c>
      <c r="C544" t="s">
        <v>31</v>
      </c>
      <c r="D544" t="s">
        <v>23</v>
      </c>
      <c r="E544" t="s">
        <v>20</v>
      </c>
      <c r="F544" t="s">
        <v>26</v>
      </c>
      <c r="G544">
        <v>71428</v>
      </c>
      <c r="H544">
        <v>22</v>
      </c>
      <c r="I544">
        <v>31</v>
      </c>
      <c r="J544">
        <v>2</v>
      </c>
      <c r="K544">
        <v>2</v>
      </c>
      <c r="L544" s="1">
        <v>42045</v>
      </c>
      <c r="M544" s="1"/>
      <c r="N544" t="s">
        <v>49</v>
      </c>
    </row>
    <row r="545" spans="1:14" x14ac:dyDescent="0.25">
      <c r="A545">
        <v>1544</v>
      </c>
      <c r="B545">
        <v>57</v>
      </c>
      <c r="C545" t="s">
        <v>31</v>
      </c>
      <c r="D545" t="s">
        <v>13</v>
      </c>
      <c r="E545" t="s">
        <v>12</v>
      </c>
      <c r="F545" t="s">
        <v>26</v>
      </c>
      <c r="G545">
        <v>109189</v>
      </c>
      <c r="H545">
        <v>2</v>
      </c>
      <c r="I545">
        <v>31</v>
      </c>
      <c r="J545">
        <v>5</v>
      </c>
      <c r="K545">
        <v>1</v>
      </c>
      <c r="L545" s="1">
        <v>43394</v>
      </c>
      <c r="M545" s="1"/>
      <c r="N545" t="s">
        <v>49</v>
      </c>
    </row>
    <row r="546" spans="1:14" x14ac:dyDescent="0.25">
      <c r="A546">
        <v>1545</v>
      </c>
      <c r="B546">
        <v>30</v>
      </c>
      <c r="C546" t="s">
        <v>32</v>
      </c>
      <c r="D546" t="s">
        <v>23</v>
      </c>
      <c r="E546" t="s">
        <v>25</v>
      </c>
      <c r="F546" t="s">
        <v>18</v>
      </c>
      <c r="G546">
        <v>108628</v>
      </c>
      <c r="H546">
        <v>23</v>
      </c>
      <c r="I546">
        <v>29</v>
      </c>
      <c r="J546">
        <v>5</v>
      </c>
      <c r="K546">
        <v>6</v>
      </c>
      <c r="L546" s="1">
        <v>43590</v>
      </c>
      <c r="M546" s="1"/>
      <c r="N546" t="s">
        <v>49</v>
      </c>
    </row>
    <row r="547" spans="1:14" x14ac:dyDescent="0.25">
      <c r="A547">
        <v>1546</v>
      </c>
      <c r="B547">
        <v>30</v>
      </c>
      <c r="C547" t="s">
        <v>31</v>
      </c>
      <c r="D547" t="s">
        <v>16</v>
      </c>
      <c r="E547" t="s">
        <v>12</v>
      </c>
      <c r="F547" t="s">
        <v>18</v>
      </c>
      <c r="G547">
        <v>74724</v>
      </c>
      <c r="H547">
        <v>26</v>
      </c>
      <c r="I547">
        <v>33</v>
      </c>
      <c r="J547">
        <v>4</v>
      </c>
      <c r="K547">
        <v>3</v>
      </c>
      <c r="L547" s="1">
        <v>45605</v>
      </c>
      <c r="M547" s="1"/>
      <c r="N547" t="s">
        <v>49</v>
      </c>
    </row>
    <row r="548" spans="1:14" x14ac:dyDescent="0.25">
      <c r="A548">
        <v>1547</v>
      </c>
      <c r="B548">
        <v>51</v>
      </c>
      <c r="C548" t="s">
        <v>32</v>
      </c>
      <c r="D548" t="s">
        <v>23</v>
      </c>
      <c r="E548" t="s">
        <v>25</v>
      </c>
      <c r="F548" t="s">
        <v>45</v>
      </c>
      <c r="G548">
        <v>45840</v>
      </c>
      <c r="H548">
        <v>12</v>
      </c>
      <c r="I548">
        <v>9</v>
      </c>
      <c r="J548">
        <v>1</v>
      </c>
      <c r="K548">
        <v>7</v>
      </c>
      <c r="L548" s="1">
        <v>43911</v>
      </c>
      <c r="M548" s="1"/>
      <c r="N548" t="s">
        <v>49</v>
      </c>
    </row>
    <row r="549" spans="1:14" x14ac:dyDescent="0.25">
      <c r="A549">
        <v>1548</v>
      </c>
      <c r="B549">
        <v>36</v>
      </c>
      <c r="C549" t="s">
        <v>32</v>
      </c>
      <c r="D549" t="s">
        <v>23</v>
      </c>
      <c r="E549" t="s">
        <v>20</v>
      </c>
      <c r="F549" t="s">
        <v>17</v>
      </c>
      <c r="G549">
        <v>56044</v>
      </c>
      <c r="H549">
        <v>8</v>
      </c>
      <c r="I549">
        <v>14</v>
      </c>
      <c r="J549">
        <v>5</v>
      </c>
      <c r="K549">
        <v>1</v>
      </c>
      <c r="L549" s="1">
        <v>45366</v>
      </c>
      <c r="M549" s="1"/>
      <c r="N549" t="s">
        <v>49</v>
      </c>
    </row>
    <row r="550" spans="1:14" x14ac:dyDescent="0.25">
      <c r="A550">
        <v>1549</v>
      </c>
      <c r="B550">
        <v>28</v>
      </c>
      <c r="C550" t="s">
        <v>31</v>
      </c>
      <c r="D550" t="s">
        <v>13</v>
      </c>
      <c r="E550" t="s">
        <v>14</v>
      </c>
      <c r="F550" t="s">
        <v>15</v>
      </c>
      <c r="G550">
        <v>76409</v>
      </c>
      <c r="H550">
        <v>23</v>
      </c>
      <c r="I550">
        <v>0</v>
      </c>
      <c r="K550">
        <v>4</v>
      </c>
      <c r="L550" s="1">
        <v>44975</v>
      </c>
      <c r="M550" s="1">
        <v>43671</v>
      </c>
      <c r="N550" t="s">
        <v>50</v>
      </c>
    </row>
    <row r="551" spans="1:14" x14ac:dyDescent="0.25">
      <c r="A551">
        <v>1550</v>
      </c>
      <c r="B551">
        <v>27</v>
      </c>
      <c r="C551" t="s">
        <v>32</v>
      </c>
      <c r="D551" t="s">
        <v>27</v>
      </c>
      <c r="E551" t="s">
        <v>20</v>
      </c>
      <c r="F551" t="s">
        <v>17</v>
      </c>
      <c r="G551">
        <v>88004</v>
      </c>
      <c r="H551">
        <v>25</v>
      </c>
      <c r="I551">
        <v>18</v>
      </c>
      <c r="J551">
        <v>5</v>
      </c>
      <c r="K551">
        <v>5</v>
      </c>
      <c r="L551" s="1">
        <v>43807</v>
      </c>
      <c r="M551" s="1">
        <v>44399</v>
      </c>
      <c r="N551" t="s">
        <v>50</v>
      </c>
    </row>
    <row r="552" spans="1:14" x14ac:dyDescent="0.25">
      <c r="A552">
        <v>1551</v>
      </c>
      <c r="B552">
        <v>58</v>
      </c>
      <c r="C552" t="s">
        <v>32</v>
      </c>
      <c r="D552" t="s">
        <v>27</v>
      </c>
      <c r="E552" t="s">
        <v>28</v>
      </c>
      <c r="F552" t="s">
        <v>17</v>
      </c>
      <c r="G552">
        <v>95121</v>
      </c>
      <c r="H552">
        <v>15</v>
      </c>
      <c r="I552">
        <v>54</v>
      </c>
      <c r="K552">
        <v>2</v>
      </c>
      <c r="L552" s="1">
        <v>43564</v>
      </c>
      <c r="M552" s="1">
        <v>42820</v>
      </c>
      <c r="N552" t="s">
        <v>50</v>
      </c>
    </row>
    <row r="553" spans="1:14" x14ac:dyDescent="0.25">
      <c r="A553">
        <v>1552</v>
      </c>
      <c r="B553">
        <v>57</v>
      </c>
      <c r="C553" t="s">
        <v>32</v>
      </c>
      <c r="D553" t="s">
        <v>27</v>
      </c>
      <c r="E553" t="s">
        <v>14</v>
      </c>
      <c r="F553" t="s">
        <v>18</v>
      </c>
      <c r="G553">
        <v>53805</v>
      </c>
      <c r="H553">
        <v>28</v>
      </c>
      <c r="I553">
        <v>32</v>
      </c>
      <c r="K553">
        <v>2</v>
      </c>
      <c r="L553" s="1">
        <v>45598</v>
      </c>
      <c r="M553" s="1"/>
      <c r="N553" t="s">
        <v>49</v>
      </c>
    </row>
    <row r="554" spans="1:14" x14ac:dyDescent="0.25">
      <c r="A554">
        <v>1553</v>
      </c>
      <c r="B554">
        <v>57</v>
      </c>
      <c r="C554" t="s">
        <v>32</v>
      </c>
      <c r="D554" t="s">
        <v>16</v>
      </c>
      <c r="E554" t="s">
        <v>12</v>
      </c>
      <c r="F554" t="s">
        <v>45</v>
      </c>
      <c r="G554">
        <v>106418</v>
      </c>
      <c r="H554">
        <v>3</v>
      </c>
      <c r="I554">
        <v>39</v>
      </c>
      <c r="K554">
        <v>4</v>
      </c>
      <c r="L554" s="1">
        <v>45084</v>
      </c>
      <c r="M554" s="1">
        <v>45397</v>
      </c>
      <c r="N554" t="s">
        <v>50</v>
      </c>
    </row>
    <row r="555" spans="1:14" x14ac:dyDescent="0.25">
      <c r="A555">
        <v>1554</v>
      </c>
      <c r="B555">
        <v>40</v>
      </c>
      <c r="C555" t="s">
        <v>32</v>
      </c>
      <c r="D555" t="s">
        <v>23</v>
      </c>
      <c r="E555" t="s">
        <v>14</v>
      </c>
      <c r="F555" t="s">
        <v>15</v>
      </c>
      <c r="G555">
        <v>85837</v>
      </c>
      <c r="H555">
        <v>24</v>
      </c>
      <c r="I555">
        <v>41</v>
      </c>
      <c r="J555">
        <v>2</v>
      </c>
      <c r="K555">
        <v>10</v>
      </c>
      <c r="L555" s="1">
        <v>45591</v>
      </c>
      <c r="M555" s="1"/>
      <c r="N555" t="s">
        <v>49</v>
      </c>
    </row>
    <row r="556" spans="1:14" x14ac:dyDescent="0.25">
      <c r="A556">
        <v>1555</v>
      </c>
      <c r="B556">
        <v>43</v>
      </c>
      <c r="C556" t="s">
        <v>32</v>
      </c>
      <c r="D556" t="s">
        <v>27</v>
      </c>
      <c r="E556" t="s">
        <v>20</v>
      </c>
      <c r="F556" t="s">
        <v>45</v>
      </c>
      <c r="G556">
        <v>85178</v>
      </c>
      <c r="H556">
        <v>7</v>
      </c>
      <c r="I556">
        <v>33</v>
      </c>
      <c r="J556">
        <v>4</v>
      </c>
      <c r="K556">
        <v>10</v>
      </c>
      <c r="L556" s="1">
        <v>42444</v>
      </c>
      <c r="M556" s="1">
        <v>43493</v>
      </c>
      <c r="N556" t="s">
        <v>50</v>
      </c>
    </row>
    <row r="557" spans="1:14" x14ac:dyDescent="0.25">
      <c r="A557">
        <v>1556</v>
      </c>
      <c r="B557">
        <v>46</v>
      </c>
      <c r="C557" t="s">
        <v>32</v>
      </c>
      <c r="D557" t="s">
        <v>19</v>
      </c>
      <c r="E557" t="s">
        <v>12</v>
      </c>
      <c r="F557" t="s">
        <v>26</v>
      </c>
      <c r="G557">
        <v>66648</v>
      </c>
      <c r="H557">
        <v>28</v>
      </c>
      <c r="I557">
        <v>39</v>
      </c>
      <c r="J557">
        <v>4</v>
      </c>
      <c r="K557">
        <v>5</v>
      </c>
      <c r="L557" s="1">
        <v>42960</v>
      </c>
      <c r="M557" s="1"/>
      <c r="N557" t="s">
        <v>49</v>
      </c>
    </row>
    <row r="558" spans="1:14" x14ac:dyDescent="0.25">
      <c r="A558">
        <v>1557</v>
      </c>
      <c r="B558">
        <v>36</v>
      </c>
      <c r="C558" t="s">
        <v>31</v>
      </c>
      <c r="D558" t="s">
        <v>16</v>
      </c>
      <c r="E558" t="s">
        <v>28</v>
      </c>
      <c r="F558" t="s">
        <v>15</v>
      </c>
      <c r="G558">
        <v>74299</v>
      </c>
      <c r="H558">
        <v>8</v>
      </c>
      <c r="I558">
        <v>10</v>
      </c>
      <c r="J558">
        <v>1</v>
      </c>
      <c r="K558">
        <v>1</v>
      </c>
      <c r="L558" s="1">
        <v>43033</v>
      </c>
      <c r="M558" s="1"/>
      <c r="N558" t="s">
        <v>49</v>
      </c>
    </row>
    <row r="559" spans="1:14" x14ac:dyDescent="0.25">
      <c r="A559">
        <v>1558</v>
      </c>
      <c r="B559">
        <v>34</v>
      </c>
      <c r="C559" t="s">
        <v>31</v>
      </c>
      <c r="D559" t="s">
        <v>19</v>
      </c>
      <c r="E559" t="s">
        <v>12</v>
      </c>
      <c r="F559" t="s">
        <v>15</v>
      </c>
      <c r="G559">
        <v>83739</v>
      </c>
      <c r="H559">
        <v>15</v>
      </c>
      <c r="I559">
        <v>57</v>
      </c>
      <c r="J559">
        <v>4</v>
      </c>
      <c r="K559">
        <v>7</v>
      </c>
      <c r="L559" s="1">
        <v>45204</v>
      </c>
      <c r="M559" s="1"/>
      <c r="N559" t="s">
        <v>49</v>
      </c>
    </row>
    <row r="560" spans="1:14" x14ac:dyDescent="0.25">
      <c r="A560">
        <v>1559</v>
      </c>
      <c r="B560">
        <v>57</v>
      </c>
      <c r="C560" t="s">
        <v>31</v>
      </c>
      <c r="D560" t="s">
        <v>16</v>
      </c>
      <c r="E560" t="s">
        <v>14</v>
      </c>
      <c r="F560" t="s">
        <v>18</v>
      </c>
      <c r="G560">
        <v>68986</v>
      </c>
      <c r="H560">
        <v>3</v>
      </c>
      <c r="I560">
        <v>19</v>
      </c>
      <c r="K560">
        <v>9</v>
      </c>
      <c r="L560" s="1">
        <v>42208</v>
      </c>
      <c r="M560" s="1"/>
      <c r="N560" t="s">
        <v>49</v>
      </c>
    </row>
    <row r="561" spans="1:14" x14ac:dyDescent="0.25">
      <c r="A561">
        <v>1560</v>
      </c>
      <c r="B561">
        <v>60</v>
      </c>
      <c r="C561" t="s">
        <v>32</v>
      </c>
      <c r="D561" t="s">
        <v>27</v>
      </c>
      <c r="E561" t="s">
        <v>25</v>
      </c>
      <c r="F561" t="s">
        <v>17</v>
      </c>
      <c r="G561">
        <v>77322</v>
      </c>
      <c r="H561">
        <v>6</v>
      </c>
      <c r="I561">
        <v>7</v>
      </c>
      <c r="J561">
        <v>3</v>
      </c>
      <c r="K561">
        <v>8</v>
      </c>
      <c r="L561" s="1">
        <v>43223</v>
      </c>
      <c r="M561" s="1"/>
      <c r="N561" t="s">
        <v>49</v>
      </c>
    </row>
    <row r="562" spans="1:14" x14ac:dyDescent="0.25">
      <c r="A562">
        <v>1561</v>
      </c>
      <c r="B562">
        <v>33</v>
      </c>
      <c r="C562" t="s">
        <v>32</v>
      </c>
      <c r="D562" t="s">
        <v>16</v>
      </c>
      <c r="E562" t="s">
        <v>25</v>
      </c>
      <c r="F562" t="s">
        <v>15</v>
      </c>
      <c r="G562">
        <v>64041</v>
      </c>
      <c r="H562">
        <v>24</v>
      </c>
      <c r="I562">
        <v>60</v>
      </c>
      <c r="J562">
        <v>1</v>
      </c>
      <c r="K562">
        <v>4</v>
      </c>
      <c r="L562" s="1">
        <v>44779</v>
      </c>
      <c r="M562" s="1"/>
      <c r="N562" t="s">
        <v>49</v>
      </c>
    </row>
    <row r="563" spans="1:14" x14ac:dyDescent="0.25">
      <c r="A563">
        <v>1562</v>
      </c>
      <c r="B563">
        <v>21</v>
      </c>
      <c r="C563" t="s">
        <v>31</v>
      </c>
      <c r="D563" t="s">
        <v>22</v>
      </c>
      <c r="E563" t="s">
        <v>20</v>
      </c>
      <c r="F563" t="s">
        <v>17</v>
      </c>
      <c r="G563">
        <v>48817</v>
      </c>
      <c r="H563">
        <v>5</v>
      </c>
      <c r="I563">
        <v>49</v>
      </c>
      <c r="J563">
        <v>3</v>
      </c>
      <c r="K563">
        <v>5</v>
      </c>
      <c r="L563" s="1">
        <v>43936</v>
      </c>
      <c r="M563" s="1">
        <v>44251</v>
      </c>
      <c r="N563" t="s">
        <v>50</v>
      </c>
    </row>
    <row r="564" spans="1:14" x14ac:dyDescent="0.25">
      <c r="A564">
        <v>1563</v>
      </c>
      <c r="B564">
        <v>21</v>
      </c>
      <c r="C564" t="s">
        <v>32</v>
      </c>
      <c r="D564" t="s">
        <v>22</v>
      </c>
      <c r="E564" t="s">
        <v>20</v>
      </c>
      <c r="F564" t="s">
        <v>45</v>
      </c>
      <c r="G564">
        <v>74551</v>
      </c>
      <c r="H564">
        <v>20</v>
      </c>
      <c r="I564">
        <v>51</v>
      </c>
      <c r="J564">
        <v>5</v>
      </c>
      <c r="K564">
        <v>10</v>
      </c>
      <c r="L564" s="1">
        <v>42779</v>
      </c>
      <c r="M564" s="1"/>
      <c r="N564" t="s">
        <v>49</v>
      </c>
    </row>
    <row r="565" spans="1:14" x14ac:dyDescent="0.25">
      <c r="A565">
        <v>1564</v>
      </c>
      <c r="B565">
        <v>32</v>
      </c>
      <c r="C565" t="s">
        <v>32</v>
      </c>
      <c r="D565" t="s">
        <v>27</v>
      </c>
      <c r="E565" t="s">
        <v>25</v>
      </c>
      <c r="F565" t="s">
        <v>17</v>
      </c>
      <c r="G565">
        <v>46588</v>
      </c>
      <c r="H565">
        <v>27</v>
      </c>
      <c r="I565">
        <v>56</v>
      </c>
      <c r="J565">
        <v>4</v>
      </c>
      <c r="K565">
        <v>4</v>
      </c>
      <c r="L565" s="1">
        <v>42627</v>
      </c>
      <c r="M565" s="1"/>
      <c r="N565" t="s">
        <v>49</v>
      </c>
    </row>
    <row r="566" spans="1:14" x14ac:dyDescent="0.25">
      <c r="A566">
        <v>1565</v>
      </c>
      <c r="B566">
        <v>36</v>
      </c>
      <c r="C566" t="s">
        <v>32</v>
      </c>
      <c r="D566" t="s">
        <v>16</v>
      </c>
      <c r="E566" t="s">
        <v>28</v>
      </c>
      <c r="F566" t="s">
        <v>15</v>
      </c>
      <c r="G566">
        <v>83983</v>
      </c>
      <c r="H566">
        <v>22</v>
      </c>
      <c r="I566">
        <v>43</v>
      </c>
      <c r="K566">
        <v>7</v>
      </c>
      <c r="L566" s="1">
        <v>43233</v>
      </c>
      <c r="M566" s="1"/>
      <c r="N566" t="s">
        <v>49</v>
      </c>
    </row>
    <row r="567" spans="1:14" x14ac:dyDescent="0.25">
      <c r="A567">
        <v>1566</v>
      </c>
      <c r="B567">
        <v>30</v>
      </c>
      <c r="C567" t="s">
        <v>32</v>
      </c>
      <c r="D567" t="s">
        <v>27</v>
      </c>
      <c r="E567" t="s">
        <v>28</v>
      </c>
      <c r="F567" t="s">
        <v>21</v>
      </c>
      <c r="G567">
        <v>59067</v>
      </c>
      <c r="H567">
        <v>2</v>
      </c>
      <c r="I567">
        <v>21</v>
      </c>
      <c r="J567">
        <v>2</v>
      </c>
      <c r="K567">
        <v>3</v>
      </c>
      <c r="L567" s="1">
        <v>42292</v>
      </c>
      <c r="M567" s="1"/>
      <c r="N567" t="s">
        <v>49</v>
      </c>
    </row>
    <row r="568" spans="1:14" x14ac:dyDescent="0.25">
      <c r="A568">
        <v>1567</v>
      </c>
      <c r="B568">
        <v>44</v>
      </c>
      <c r="C568" t="s">
        <v>31</v>
      </c>
      <c r="D568" t="s">
        <v>27</v>
      </c>
      <c r="E568" t="s">
        <v>12</v>
      </c>
      <c r="F568" t="s">
        <v>15</v>
      </c>
      <c r="G568">
        <v>103788</v>
      </c>
      <c r="H568">
        <v>19</v>
      </c>
      <c r="I568">
        <v>22</v>
      </c>
      <c r="J568">
        <v>4</v>
      </c>
      <c r="K568">
        <v>7</v>
      </c>
      <c r="L568" s="1">
        <v>45478</v>
      </c>
      <c r="M568" s="1">
        <v>45373</v>
      </c>
      <c r="N568" t="s">
        <v>50</v>
      </c>
    </row>
    <row r="569" spans="1:14" x14ac:dyDescent="0.25">
      <c r="A569">
        <v>1568</v>
      </c>
      <c r="B569">
        <v>56</v>
      </c>
      <c r="C569" t="s">
        <v>31</v>
      </c>
      <c r="D569" t="s">
        <v>27</v>
      </c>
      <c r="E569" t="s">
        <v>14</v>
      </c>
      <c r="F569" t="s">
        <v>17</v>
      </c>
      <c r="G569">
        <v>57409</v>
      </c>
      <c r="H569">
        <v>23</v>
      </c>
      <c r="I569">
        <v>46</v>
      </c>
      <c r="K569">
        <v>10</v>
      </c>
      <c r="L569" s="1">
        <v>42053</v>
      </c>
      <c r="M569" s="1"/>
      <c r="N569" t="s">
        <v>49</v>
      </c>
    </row>
    <row r="570" spans="1:14" x14ac:dyDescent="0.25">
      <c r="A570">
        <v>1569</v>
      </c>
      <c r="B570">
        <v>53</v>
      </c>
      <c r="C570" t="s">
        <v>32</v>
      </c>
      <c r="D570" t="s">
        <v>27</v>
      </c>
      <c r="E570" t="s">
        <v>25</v>
      </c>
      <c r="F570" t="s">
        <v>17</v>
      </c>
      <c r="G570">
        <v>53139</v>
      </c>
      <c r="H570">
        <v>14</v>
      </c>
      <c r="I570">
        <v>25</v>
      </c>
      <c r="J570">
        <v>3</v>
      </c>
      <c r="K570">
        <v>8</v>
      </c>
      <c r="L570" s="1">
        <v>43847</v>
      </c>
      <c r="M570" s="1"/>
      <c r="N570" t="s">
        <v>49</v>
      </c>
    </row>
    <row r="571" spans="1:14" x14ac:dyDescent="0.25">
      <c r="A571">
        <v>1570</v>
      </c>
      <c r="B571">
        <v>52</v>
      </c>
      <c r="C571" t="s">
        <v>31</v>
      </c>
      <c r="D571" t="s">
        <v>19</v>
      </c>
      <c r="E571" t="s">
        <v>14</v>
      </c>
      <c r="F571" t="s">
        <v>26</v>
      </c>
      <c r="G571">
        <v>46044</v>
      </c>
      <c r="H571">
        <v>7</v>
      </c>
      <c r="I571">
        <v>21</v>
      </c>
      <c r="J571">
        <v>1</v>
      </c>
      <c r="K571">
        <v>3</v>
      </c>
      <c r="L571" s="1">
        <v>42739</v>
      </c>
      <c r="M571" s="1"/>
      <c r="N571" t="s">
        <v>49</v>
      </c>
    </row>
    <row r="572" spans="1:14" x14ac:dyDescent="0.25">
      <c r="A572">
        <v>1571</v>
      </c>
      <c r="B572">
        <v>53</v>
      </c>
      <c r="C572" t="s">
        <v>31</v>
      </c>
      <c r="D572" t="s">
        <v>16</v>
      </c>
      <c r="E572" t="s">
        <v>14</v>
      </c>
      <c r="F572" t="s">
        <v>45</v>
      </c>
      <c r="G572">
        <v>49378</v>
      </c>
      <c r="H572">
        <v>13</v>
      </c>
      <c r="I572">
        <v>40</v>
      </c>
      <c r="K572">
        <v>6</v>
      </c>
      <c r="L572" s="1">
        <v>44361</v>
      </c>
      <c r="M572" s="1"/>
      <c r="N572" t="s">
        <v>49</v>
      </c>
    </row>
    <row r="573" spans="1:14" x14ac:dyDescent="0.25">
      <c r="A573">
        <v>1572</v>
      </c>
      <c r="B573">
        <v>28</v>
      </c>
      <c r="C573" t="s">
        <v>32</v>
      </c>
      <c r="D573" t="s">
        <v>22</v>
      </c>
      <c r="E573" t="s">
        <v>25</v>
      </c>
      <c r="F573" t="s">
        <v>26</v>
      </c>
      <c r="G573">
        <v>99582</v>
      </c>
      <c r="H573">
        <v>20</v>
      </c>
      <c r="I573">
        <v>8</v>
      </c>
      <c r="J573">
        <v>1</v>
      </c>
      <c r="K573">
        <v>2</v>
      </c>
      <c r="L573" s="1">
        <v>42656</v>
      </c>
      <c r="M573" s="1"/>
      <c r="N573" t="s">
        <v>49</v>
      </c>
    </row>
    <row r="574" spans="1:14" x14ac:dyDescent="0.25">
      <c r="A574">
        <v>1573</v>
      </c>
      <c r="B574">
        <v>51</v>
      </c>
      <c r="C574" t="s">
        <v>32</v>
      </c>
      <c r="D574" t="s">
        <v>23</v>
      </c>
      <c r="E574" t="s">
        <v>12</v>
      </c>
      <c r="F574" t="s">
        <v>17</v>
      </c>
      <c r="G574">
        <v>102164</v>
      </c>
      <c r="H574">
        <v>5</v>
      </c>
      <c r="I574">
        <v>2</v>
      </c>
      <c r="J574">
        <v>4</v>
      </c>
      <c r="K574">
        <v>10</v>
      </c>
      <c r="L574" s="1">
        <v>42565</v>
      </c>
      <c r="M574" s="1"/>
      <c r="N574" t="s">
        <v>49</v>
      </c>
    </row>
    <row r="575" spans="1:14" x14ac:dyDescent="0.25">
      <c r="A575">
        <v>1574</v>
      </c>
      <c r="B575">
        <v>28</v>
      </c>
      <c r="C575" t="s">
        <v>31</v>
      </c>
      <c r="D575" t="s">
        <v>23</v>
      </c>
      <c r="E575" t="s">
        <v>28</v>
      </c>
      <c r="F575" t="s">
        <v>15</v>
      </c>
      <c r="G575">
        <v>56915</v>
      </c>
      <c r="H575">
        <v>30</v>
      </c>
      <c r="I575">
        <v>19</v>
      </c>
      <c r="K575">
        <v>5</v>
      </c>
      <c r="L575" s="1">
        <v>44480</v>
      </c>
      <c r="M575" s="1"/>
      <c r="N575" t="s">
        <v>49</v>
      </c>
    </row>
    <row r="576" spans="1:14" x14ac:dyDescent="0.25">
      <c r="A576">
        <v>1575</v>
      </c>
      <c r="B576">
        <v>43</v>
      </c>
      <c r="C576" t="s">
        <v>32</v>
      </c>
      <c r="D576" t="s">
        <v>23</v>
      </c>
      <c r="E576" t="s">
        <v>28</v>
      </c>
      <c r="F576" t="s">
        <v>18</v>
      </c>
      <c r="G576">
        <v>79846</v>
      </c>
      <c r="H576">
        <v>5</v>
      </c>
      <c r="I576">
        <v>56</v>
      </c>
      <c r="J576">
        <v>2</v>
      </c>
      <c r="K576">
        <v>7</v>
      </c>
      <c r="L576" s="1">
        <v>44768</v>
      </c>
      <c r="M576" s="1">
        <v>42711</v>
      </c>
      <c r="N576" t="s">
        <v>50</v>
      </c>
    </row>
    <row r="577" spans="1:14" x14ac:dyDescent="0.25">
      <c r="A577">
        <v>1576</v>
      </c>
      <c r="B577">
        <v>23</v>
      </c>
      <c r="C577" t="s">
        <v>31</v>
      </c>
      <c r="D577" t="s">
        <v>23</v>
      </c>
      <c r="E577" t="s">
        <v>25</v>
      </c>
      <c r="F577" t="s">
        <v>29</v>
      </c>
      <c r="G577">
        <v>91459</v>
      </c>
      <c r="H577">
        <v>3</v>
      </c>
      <c r="I577">
        <v>13</v>
      </c>
      <c r="J577">
        <v>4</v>
      </c>
      <c r="K577">
        <v>10</v>
      </c>
      <c r="L577" s="1">
        <v>43316</v>
      </c>
      <c r="M577" s="1">
        <v>43718</v>
      </c>
      <c r="N577" t="s">
        <v>50</v>
      </c>
    </row>
    <row r="578" spans="1:14" x14ac:dyDescent="0.25">
      <c r="A578">
        <v>1577</v>
      </c>
      <c r="B578">
        <v>26</v>
      </c>
      <c r="C578" t="s">
        <v>31</v>
      </c>
      <c r="D578" t="s">
        <v>13</v>
      </c>
      <c r="E578" t="s">
        <v>28</v>
      </c>
      <c r="F578" t="s">
        <v>15</v>
      </c>
      <c r="G578">
        <v>52336</v>
      </c>
      <c r="H578">
        <v>23</v>
      </c>
      <c r="I578">
        <v>34</v>
      </c>
      <c r="J578">
        <v>1</v>
      </c>
      <c r="K578">
        <v>10</v>
      </c>
      <c r="L578" s="1">
        <v>42126</v>
      </c>
      <c r="M578" s="1"/>
      <c r="N578" t="s">
        <v>49</v>
      </c>
    </row>
    <row r="579" spans="1:14" x14ac:dyDescent="0.25">
      <c r="A579">
        <v>1578</v>
      </c>
      <c r="B579">
        <v>48</v>
      </c>
      <c r="C579" t="s">
        <v>32</v>
      </c>
      <c r="D579" t="s">
        <v>23</v>
      </c>
      <c r="E579" t="s">
        <v>12</v>
      </c>
      <c r="F579" t="s">
        <v>21</v>
      </c>
      <c r="G579">
        <v>91325</v>
      </c>
      <c r="H579">
        <v>18</v>
      </c>
      <c r="I579">
        <v>18</v>
      </c>
      <c r="J579">
        <v>1</v>
      </c>
      <c r="K579">
        <v>6</v>
      </c>
      <c r="L579" s="1">
        <v>45549</v>
      </c>
      <c r="M579" s="1">
        <v>42666</v>
      </c>
      <c r="N579" t="s">
        <v>50</v>
      </c>
    </row>
    <row r="580" spans="1:14" x14ac:dyDescent="0.25">
      <c r="A580">
        <v>1579</v>
      </c>
      <c r="B580">
        <v>24</v>
      </c>
      <c r="C580" t="s">
        <v>32</v>
      </c>
      <c r="D580" t="s">
        <v>22</v>
      </c>
      <c r="E580" t="s">
        <v>25</v>
      </c>
      <c r="F580" t="s">
        <v>26</v>
      </c>
      <c r="G580">
        <v>104302</v>
      </c>
      <c r="H580">
        <v>22</v>
      </c>
      <c r="I580">
        <v>9</v>
      </c>
      <c r="J580">
        <v>3</v>
      </c>
      <c r="K580">
        <v>5</v>
      </c>
      <c r="L580" s="1">
        <v>45531</v>
      </c>
      <c r="M580" s="1"/>
      <c r="N580" t="s">
        <v>49</v>
      </c>
    </row>
    <row r="581" spans="1:14" x14ac:dyDescent="0.25">
      <c r="A581">
        <v>1580</v>
      </c>
      <c r="B581">
        <v>51</v>
      </c>
      <c r="C581" t="s">
        <v>32</v>
      </c>
      <c r="D581" t="s">
        <v>27</v>
      </c>
      <c r="E581" t="s">
        <v>12</v>
      </c>
      <c r="F581" t="s">
        <v>15</v>
      </c>
      <c r="G581">
        <v>51373</v>
      </c>
      <c r="H581">
        <v>20</v>
      </c>
      <c r="I581">
        <v>7</v>
      </c>
      <c r="J581">
        <v>5</v>
      </c>
      <c r="K581">
        <v>5</v>
      </c>
      <c r="L581" s="1">
        <v>43787</v>
      </c>
      <c r="M581" s="1"/>
      <c r="N581" t="s">
        <v>49</v>
      </c>
    </row>
    <row r="582" spans="1:14" x14ac:dyDescent="0.25">
      <c r="A582">
        <v>1581</v>
      </c>
      <c r="B582">
        <v>44</v>
      </c>
      <c r="C582" t="s">
        <v>31</v>
      </c>
      <c r="D582" t="s">
        <v>16</v>
      </c>
      <c r="E582" t="s">
        <v>25</v>
      </c>
      <c r="F582" t="s">
        <v>29</v>
      </c>
      <c r="G582">
        <v>64786</v>
      </c>
      <c r="H582">
        <v>22</v>
      </c>
      <c r="I582">
        <v>30</v>
      </c>
      <c r="K582">
        <v>9</v>
      </c>
      <c r="L582" s="1">
        <v>42042</v>
      </c>
      <c r="M582" s="1"/>
      <c r="N582" t="s">
        <v>49</v>
      </c>
    </row>
    <row r="583" spans="1:14" x14ac:dyDescent="0.25">
      <c r="A583">
        <v>1582</v>
      </c>
      <c r="B583">
        <v>58</v>
      </c>
      <c r="C583" t="s">
        <v>31</v>
      </c>
      <c r="D583" t="s">
        <v>23</v>
      </c>
      <c r="E583" t="s">
        <v>14</v>
      </c>
      <c r="F583" t="s">
        <v>21</v>
      </c>
      <c r="G583">
        <v>97744</v>
      </c>
      <c r="H583">
        <v>6</v>
      </c>
      <c r="I583">
        <v>42</v>
      </c>
      <c r="J583">
        <v>5</v>
      </c>
      <c r="K583">
        <v>10</v>
      </c>
      <c r="L583" s="1">
        <v>45109</v>
      </c>
      <c r="M583" s="1">
        <v>44661</v>
      </c>
      <c r="N583" t="s">
        <v>50</v>
      </c>
    </row>
    <row r="584" spans="1:14" x14ac:dyDescent="0.25">
      <c r="A584">
        <v>1583</v>
      </c>
      <c r="B584">
        <v>33</v>
      </c>
      <c r="C584" t="s">
        <v>32</v>
      </c>
      <c r="D584" t="s">
        <v>13</v>
      </c>
      <c r="E584" t="s">
        <v>12</v>
      </c>
      <c r="F584" t="s">
        <v>29</v>
      </c>
      <c r="G584">
        <v>86168</v>
      </c>
      <c r="H584">
        <v>27</v>
      </c>
      <c r="I584">
        <v>24</v>
      </c>
      <c r="J584">
        <v>5</v>
      </c>
      <c r="K584">
        <v>2</v>
      </c>
      <c r="L584" s="1">
        <v>44457</v>
      </c>
      <c r="M584" s="1"/>
      <c r="N584" t="s">
        <v>49</v>
      </c>
    </row>
    <row r="585" spans="1:14" x14ac:dyDescent="0.25">
      <c r="A585">
        <v>1584</v>
      </c>
      <c r="B585">
        <v>21</v>
      </c>
      <c r="C585" t="s">
        <v>31</v>
      </c>
      <c r="D585" t="s">
        <v>23</v>
      </c>
      <c r="E585" t="s">
        <v>25</v>
      </c>
      <c r="F585" t="s">
        <v>29</v>
      </c>
      <c r="G585">
        <v>97104</v>
      </c>
      <c r="H585">
        <v>27</v>
      </c>
      <c r="I585">
        <v>20</v>
      </c>
      <c r="J585">
        <v>1</v>
      </c>
      <c r="K585">
        <v>2</v>
      </c>
      <c r="L585" s="1">
        <v>43812</v>
      </c>
      <c r="M585" s="1"/>
      <c r="N585" t="s">
        <v>49</v>
      </c>
    </row>
    <row r="586" spans="1:14" x14ac:dyDescent="0.25">
      <c r="A586">
        <v>1585</v>
      </c>
      <c r="B586">
        <v>47</v>
      </c>
      <c r="C586" t="s">
        <v>31</v>
      </c>
      <c r="D586" t="s">
        <v>23</v>
      </c>
      <c r="E586" t="s">
        <v>12</v>
      </c>
      <c r="F586" t="s">
        <v>29</v>
      </c>
      <c r="G586">
        <v>86661</v>
      </c>
      <c r="H586">
        <v>22</v>
      </c>
      <c r="I586">
        <v>35</v>
      </c>
      <c r="J586">
        <v>2</v>
      </c>
      <c r="K586">
        <v>4</v>
      </c>
      <c r="L586" s="1">
        <v>44080</v>
      </c>
      <c r="M586" s="1"/>
      <c r="N586" t="s">
        <v>49</v>
      </c>
    </row>
    <row r="587" spans="1:14" x14ac:dyDescent="0.25">
      <c r="A587">
        <v>1586</v>
      </c>
      <c r="B587">
        <v>51</v>
      </c>
      <c r="C587" t="s">
        <v>31</v>
      </c>
      <c r="D587" t="s">
        <v>13</v>
      </c>
      <c r="E587" t="s">
        <v>25</v>
      </c>
      <c r="F587" t="s">
        <v>17</v>
      </c>
      <c r="G587">
        <v>78572</v>
      </c>
      <c r="H587">
        <v>13</v>
      </c>
      <c r="I587">
        <v>5</v>
      </c>
      <c r="J587">
        <v>4</v>
      </c>
      <c r="K587">
        <v>5</v>
      </c>
      <c r="L587" s="1">
        <v>45586</v>
      </c>
      <c r="M587" s="1"/>
      <c r="N587" t="s">
        <v>49</v>
      </c>
    </row>
    <row r="588" spans="1:14" x14ac:dyDescent="0.25">
      <c r="A588">
        <v>1587</v>
      </c>
      <c r="B588">
        <v>42</v>
      </c>
      <c r="C588" t="s">
        <v>32</v>
      </c>
      <c r="D588" t="s">
        <v>22</v>
      </c>
      <c r="E588" t="s">
        <v>20</v>
      </c>
      <c r="F588" t="s">
        <v>18</v>
      </c>
      <c r="G588">
        <v>73449</v>
      </c>
      <c r="H588">
        <v>10</v>
      </c>
      <c r="I588">
        <v>0</v>
      </c>
      <c r="K588">
        <v>10</v>
      </c>
      <c r="L588" s="1">
        <v>42907</v>
      </c>
      <c r="M588" s="1"/>
      <c r="N588" t="s">
        <v>49</v>
      </c>
    </row>
    <row r="589" spans="1:14" x14ac:dyDescent="0.25">
      <c r="A589">
        <v>1588</v>
      </c>
      <c r="B589">
        <v>39</v>
      </c>
      <c r="C589" t="s">
        <v>32</v>
      </c>
      <c r="D589" t="s">
        <v>13</v>
      </c>
      <c r="E589" t="s">
        <v>20</v>
      </c>
      <c r="F589" t="s">
        <v>15</v>
      </c>
      <c r="G589">
        <v>54450</v>
      </c>
      <c r="H589">
        <v>28</v>
      </c>
      <c r="I589">
        <v>9</v>
      </c>
      <c r="J589">
        <v>3</v>
      </c>
      <c r="K589">
        <v>3</v>
      </c>
      <c r="L589" s="1">
        <v>44882</v>
      </c>
      <c r="M589" s="1"/>
      <c r="N589" t="s">
        <v>49</v>
      </c>
    </row>
    <row r="590" spans="1:14" x14ac:dyDescent="0.25">
      <c r="A590">
        <v>1589</v>
      </c>
      <c r="B590">
        <v>49</v>
      </c>
      <c r="C590" t="s">
        <v>31</v>
      </c>
      <c r="D590" t="s">
        <v>16</v>
      </c>
      <c r="E590" t="s">
        <v>25</v>
      </c>
      <c r="F590" t="s">
        <v>29</v>
      </c>
      <c r="G590">
        <v>67337</v>
      </c>
      <c r="H590">
        <v>13</v>
      </c>
      <c r="I590">
        <v>50</v>
      </c>
      <c r="J590">
        <v>5</v>
      </c>
      <c r="K590">
        <v>3</v>
      </c>
      <c r="L590" s="1">
        <v>43226</v>
      </c>
      <c r="M590" s="1">
        <v>45042</v>
      </c>
      <c r="N590" t="s">
        <v>50</v>
      </c>
    </row>
    <row r="591" spans="1:14" x14ac:dyDescent="0.25">
      <c r="A591">
        <v>1590</v>
      </c>
      <c r="B591">
        <v>21</v>
      </c>
      <c r="C591" t="s">
        <v>31</v>
      </c>
      <c r="D591" t="s">
        <v>27</v>
      </c>
      <c r="E591" t="s">
        <v>25</v>
      </c>
      <c r="F591" t="s">
        <v>45</v>
      </c>
      <c r="G591">
        <v>89076</v>
      </c>
      <c r="H591">
        <v>12</v>
      </c>
      <c r="I591">
        <v>10</v>
      </c>
      <c r="J591">
        <v>4</v>
      </c>
      <c r="K591">
        <v>6</v>
      </c>
      <c r="L591" s="1">
        <v>44752</v>
      </c>
      <c r="M591" s="1"/>
      <c r="N591" t="s">
        <v>49</v>
      </c>
    </row>
    <row r="592" spans="1:14" x14ac:dyDescent="0.25">
      <c r="A592">
        <v>1591</v>
      </c>
      <c r="B592">
        <v>42</v>
      </c>
      <c r="C592" t="s">
        <v>31</v>
      </c>
      <c r="D592" t="s">
        <v>22</v>
      </c>
      <c r="E592" t="s">
        <v>14</v>
      </c>
      <c r="F592" t="s">
        <v>15</v>
      </c>
      <c r="G592">
        <v>96481</v>
      </c>
      <c r="H592">
        <v>23</v>
      </c>
      <c r="I592">
        <v>8</v>
      </c>
      <c r="J592">
        <v>4</v>
      </c>
      <c r="K592">
        <v>5</v>
      </c>
      <c r="L592" s="1">
        <v>44761</v>
      </c>
      <c r="M592" s="1"/>
      <c r="N592" t="s">
        <v>49</v>
      </c>
    </row>
    <row r="593" spans="1:14" x14ac:dyDescent="0.25">
      <c r="A593">
        <v>1592</v>
      </c>
      <c r="B593">
        <v>47</v>
      </c>
      <c r="C593" t="s">
        <v>32</v>
      </c>
      <c r="D593" t="s">
        <v>19</v>
      </c>
      <c r="E593" t="s">
        <v>14</v>
      </c>
      <c r="F593" t="s">
        <v>17</v>
      </c>
      <c r="G593">
        <v>76307</v>
      </c>
      <c r="H593">
        <v>26</v>
      </c>
      <c r="I593">
        <v>32</v>
      </c>
      <c r="J593">
        <v>2</v>
      </c>
      <c r="K593">
        <v>4</v>
      </c>
      <c r="L593" s="1">
        <v>42572</v>
      </c>
      <c r="M593" s="1"/>
      <c r="N593" t="s">
        <v>49</v>
      </c>
    </row>
    <row r="594" spans="1:14" x14ac:dyDescent="0.25">
      <c r="A594">
        <v>1593</v>
      </c>
      <c r="B594">
        <v>33</v>
      </c>
      <c r="C594" t="s">
        <v>31</v>
      </c>
      <c r="D594" t="s">
        <v>23</v>
      </c>
      <c r="E594" t="s">
        <v>20</v>
      </c>
      <c r="F594" t="s">
        <v>29</v>
      </c>
      <c r="G594">
        <v>92148</v>
      </c>
      <c r="H594">
        <v>13</v>
      </c>
      <c r="I594">
        <v>42</v>
      </c>
      <c r="J594">
        <v>2</v>
      </c>
      <c r="K594">
        <v>7</v>
      </c>
      <c r="L594" s="1">
        <v>45348</v>
      </c>
      <c r="M594" s="1"/>
      <c r="N594" t="s">
        <v>49</v>
      </c>
    </row>
    <row r="595" spans="1:14" x14ac:dyDescent="0.25">
      <c r="A595">
        <v>1594</v>
      </c>
      <c r="B595">
        <v>26</v>
      </c>
      <c r="C595" t="s">
        <v>31</v>
      </c>
      <c r="D595" t="s">
        <v>23</v>
      </c>
      <c r="E595" t="s">
        <v>14</v>
      </c>
      <c r="F595" t="s">
        <v>17</v>
      </c>
      <c r="G595">
        <v>55389</v>
      </c>
      <c r="H595">
        <v>3</v>
      </c>
      <c r="I595">
        <v>29</v>
      </c>
      <c r="J595">
        <v>1</v>
      </c>
      <c r="K595">
        <v>9</v>
      </c>
      <c r="L595" s="1">
        <v>42380</v>
      </c>
      <c r="M595" s="1"/>
      <c r="N595" t="s">
        <v>49</v>
      </c>
    </row>
    <row r="596" spans="1:14" x14ac:dyDescent="0.25">
      <c r="A596">
        <v>1595</v>
      </c>
      <c r="B596">
        <v>29</v>
      </c>
      <c r="C596" t="s">
        <v>32</v>
      </c>
      <c r="D596" t="s">
        <v>16</v>
      </c>
      <c r="E596" t="s">
        <v>12</v>
      </c>
      <c r="F596" t="s">
        <v>29</v>
      </c>
      <c r="G596">
        <v>49838</v>
      </c>
      <c r="H596">
        <v>0</v>
      </c>
      <c r="I596">
        <v>37</v>
      </c>
      <c r="J596">
        <v>5</v>
      </c>
      <c r="K596">
        <v>7</v>
      </c>
      <c r="L596" s="1">
        <v>42772</v>
      </c>
      <c r="M596" s="1">
        <v>42759</v>
      </c>
      <c r="N596" t="s">
        <v>50</v>
      </c>
    </row>
    <row r="597" spans="1:14" x14ac:dyDescent="0.25">
      <c r="A597">
        <v>1596</v>
      </c>
      <c r="B597">
        <v>36</v>
      </c>
      <c r="C597" t="s">
        <v>32</v>
      </c>
      <c r="D597" t="s">
        <v>27</v>
      </c>
      <c r="E597" t="s">
        <v>25</v>
      </c>
      <c r="F597" t="s">
        <v>17</v>
      </c>
      <c r="G597">
        <v>82452</v>
      </c>
      <c r="H597">
        <v>24</v>
      </c>
      <c r="I597">
        <v>18</v>
      </c>
      <c r="J597">
        <v>1</v>
      </c>
      <c r="K597">
        <v>3</v>
      </c>
      <c r="L597" s="1">
        <v>42588</v>
      </c>
      <c r="M597" s="1"/>
      <c r="N597" t="s">
        <v>49</v>
      </c>
    </row>
    <row r="598" spans="1:14" x14ac:dyDescent="0.25">
      <c r="A598">
        <v>1597</v>
      </c>
      <c r="B598">
        <v>44</v>
      </c>
      <c r="C598" t="s">
        <v>31</v>
      </c>
      <c r="D598" t="s">
        <v>22</v>
      </c>
      <c r="E598" t="s">
        <v>25</v>
      </c>
      <c r="F598" t="s">
        <v>29</v>
      </c>
      <c r="G598">
        <v>107047</v>
      </c>
      <c r="H598">
        <v>21</v>
      </c>
      <c r="I598">
        <v>33</v>
      </c>
      <c r="J598">
        <v>1</v>
      </c>
      <c r="K598">
        <v>3</v>
      </c>
      <c r="L598" s="1">
        <v>42903</v>
      </c>
      <c r="M598" s="1"/>
      <c r="N598" t="s">
        <v>49</v>
      </c>
    </row>
    <row r="599" spans="1:14" x14ac:dyDescent="0.25">
      <c r="A599">
        <v>1598</v>
      </c>
      <c r="B599">
        <v>38</v>
      </c>
      <c r="C599" t="s">
        <v>31</v>
      </c>
      <c r="D599" t="s">
        <v>16</v>
      </c>
      <c r="E599" t="s">
        <v>20</v>
      </c>
      <c r="F599" t="s">
        <v>15</v>
      </c>
      <c r="G599">
        <v>81015</v>
      </c>
      <c r="H599">
        <v>4</v>
      </c>
      <c r="I599">
        <v>5</v>
      </c>
      <c r="K599">
        <v>3</v>
      </c>
      <c r="L599" s="1">
        <v>43910</v>
      </c>
      <c r="M599" s="1"/>
      <c r="N599" t="s">
        <v>49</v>
      </c>
    </row>
    <row r="600" spans="1:14" x14ac:dyDescent="0.25">
      <c r="A600">
        <v>1599</v>
      </c>
      <c r="B600">
        <v>43</v>
      </c>
      <c r="C600" t="s">
        <v>32</v>
      </c>
      <c r="D600" t="s">
        <v>23</v>
      </c>
      <c r="E600" t="s">
        <v>25</v>
      </c>
      <c r="F600" t="s">
        <v>26</v>
      </c>
      <c r="G600">
        <v>68671</v>
      </c>
      <c r="H600">
        <v>12</v>
      </c>
      <c r="I600">
        <v>35</v>
      </c>
      <c r="J600">
        <v>2</v>
      </c>
      <c r="K600">
        <v>3</v>
      </c>
      <c r="L600" s="1">
        <v>43210</v>
      </c>
      <c r="M600" s="1">
        <v>42966</v>
      </c>
      <c r="N600" t="s">
        <v>50</v>
      </c>
    </row>
    <row r="601" spans="1:14" x14ac:dyDescent="0.25">
      <c r="A601">
        <v>1600</v>
      </c>
      <c r="B601">
        <v>51</v>
      </c>
      <c r="C601" t="s">
        <v>32</v>
      </c>
      <c r="D601" t="s">
        <v>22</v>
      </c>
      <c r="E601" t="s">
        <v>12</v>
      </c>
      <c r="F601" t="s">
        <v>45</v>
      </c>
      <c r="G601">
        <v>102539</v>
      </c>
      <c r="H601">
        <v>22</v>
      </c>
      <c r="I601">
        <v>30</v>
      </c>
      <c r="J601">
        <v>1</v>
      </c>
      <c r="K601">
        <v>8</v>
      </c>
      <c r="L601" s="1">
        <v>42062</v>
      </c>
      <c r="M601" s="1">
        <v>44295</v>
      </c>
      <c r="N601" t="s">
        <v>50</v>
      </c>
    </row>
    <row r="602" spans="1:14" x14ac:dyDescent="0.25">
      <c r="A602">
        <v>1601</v>
      </c>
      <c r="B602">
        <v>59</v>
      </c>
      <c r="C602" t="s">
        <v>31</v>
      </c>
      <c r="D602" t="s">
        <v>27</v>
      </c>
      <c r="E602" t="s">
        <v>14</v>
      </c>
      <c r="F602" t="s">
        <v>26</v>
      </c>
      <c r="G602">
        <v>59731</v>
      </c>
      <c r="H602">
        <v>1</v>
      </c>
      <c r="I602">
        <v>40</v>
      </c>
      <c r="J602">
        <v>1</v>
      </c>
      <c r="K602">
        <v>3</v>
      </c>
      <c r="L602" s="1">
        <v>45120</v>
      </c>
      <c r="M602" s="1"/>
      <c r="N602" t="s">
        <v>49</v>
      </c>
    </row>
    <row r="603" spans="1:14" x14ac:dyDescent="0.25">
      <c r="A603">
        <v>1602</v>
      </c>
      <c r="B603">
        <v>34</v>
      </c>
      <c r="C603" t="s">
        <v>32</v>
      </c>
      <c r="D603" t="s">
        <v>23</v>
      </c>
      <c r="E603" t="s">
        <v>20</v>
      </c>
      <c r="F603" t="s">
        <v>21</v>
      </c>
      <c r="G603">
        <v>55659</v>
      </c>
      <c r="H603">
        <v>24</v>
      </c>
      <c r="I603">
        <v>29</v>
      </c>
      <c r="J603">
        <v>4</v>
      </c>
      <c r="K603">
        <v>3</v>
      </c>
      <c r="L603" s="1">
        <v>43055</v>
      </c>
      <c r="M603" s="1">
        <v>44065</v>
      </c>
      <c r="N603" t="s">
        <v>50</v>
      </c>
    </row>
    <row r="604" spans="1:14" x14ac:dyDescent="0.25">
      <c r="A604">
        <v>1603</v>
      </c>
      <c r="B604">
        <v>49</v>
      </c>
      <c r="C604" t="s">
        <v>31</v>
      </c>
      <c r="D604" t="s">
        <v>22</v>
      </c>
      <c r="E604" t="s">
        <v>25</v>
      </c>
      <c r="F604" t="s">
        <v>17</v>
      </c>
      <c r="G604">
        <v>58032</v>
      </c>
      <c r="H604">
        <v>21</v>
      </c>
      <c r="I604">
        <v>43</v>
      </c>
      <c r="J604">
        <v>4</v>
      </c>
      <c r="K604">
        <v>9</v>
      </c>
      <c r="L604" s="1">
        <v>45445</v>
      </c>
      <c r="M604" s="1"/>
      <c r="N604" t="s">
        <v>49</v>
      </c>
    </row>
    <row r="605" spans="1:14" x14ac:dyDescent="0.25">
      <c r="A605">
        <v>1604</v>
      </c>
      <c r="B605">
        <v>55</v>
      </c>
      <c r="C605" t="s">
        <v>32</v>
      </c>
      <c r="D605" t="s">
        <v>22</v>
      </c>
      <c r="E605" t="s">
        <v>25</v>
      </c>
      <c r="F605" t="s">
        <v>26</v>
      </c>
      <c r="G605">
        <v>70543</v>
      </c>
      <c r="H605">
        <v>30</v>
      </c>
      <c r="I605">
        <v>4</v>
      </c>
      <c r="J605">
        <v>2</v>
      </c>
      <c r="K605">
        <v>6</v>
      </c>
      <c r="L605" s="1">
        <v>44239</v>
      </c>
      <c r="M605" s="1"/>
      <c r="N605" t="s">
        <v>49</v>
      </c>
    </row>
    <row r="606" spans="1:14" x14ac:dyDescent="0.25">
      <c r="A606">
        <v>1605</v>
      </c>
      <c r="B606">
        <v>45</v>
      </c>
      <c r="C606" t="s">
        <v>31</v>
      </c>
      <c r="D606" t="s">
        <v>27</v>
      </c>
      <c r="E606" t="s">
        <v>12</v>
      </c>
      <c r="F606" t="s">
        <v>18</v>
      </c>
      <c r="G606">
        <v>60165</v>
      </c>
      <c r="H606">
        <v>10</v>
      </c>
      <c r="I606">
        <v>50</v>
      </c>
      <c r="J606">
        <v>4</v>
      </c>
      <c r="K606">
        <v>10</v>
      </c>
      <c r="L606" s="1">
        <v>44513</v>
      </c>
      <c r="M606" s="1"/>
      <c r="N606" t="s">
        <v>49</v>
      </c>
    </row>
    <row r="607" spans="1:14" x14ac:dyDescent="0.25">
      <c r="A607">
        <v>1606</v>
      </c>
      <c r="B607">
        <v>46</v>
      </c>
      <c r="C607" t="s">
        <v>32</v>
      </c>
      <c r="D607" t="s">
        <v>23</v>
      </c>
      <c r="E607" t="s">
        <v>14</v>
      </c>
      <c r="F607" t="s">
        <v>29</v>
      </c>
      <c r="G607">
        <v>103723</v>
      </c>
      <c r="H607">
        <v>3</v>
      </c>
      <c r="I607">
        <v>30</v>
      </c>
      <c r="J607">
        <v>2</v>
      </c>
      <c r="K607">
        <v>5</v>
      </c>
      <c r="L607" s="1">
        <v>44048</v>
      </c>
      <c r="M607" s="1"/>
      <c r="N607" t="s">
        <v>49</v>
      </c>
    </row>
    <row r="608" spans="1:14" x14ac:dyDescent="0.25">
      <c r="A608">
        <v>1607</v>
      </c>
      <c r="B608">
        <v>22</v>
      </c>
      <c r="C608" t="s">
        <v>32</v>
      </c>
      <c r="D608" t="s">
        <v>22</v>
      </c>
      <c r="E608" t="s">
        <v>14</v>
      </c>
      <c r="F608" t="s">
        <v>29</v>
      </c>
      <c r="G608">
        <v>79404</v>
      </c>
      <c r="H608">
        <v>8</v>
      </c>
      <c r="I608">
        <v>7</v>
      </c>
      <c r="J608">
        <v>3</v>
      </c>
      <c r="K608">
        <v>9</v>
      </c>
      <c r="L608" s="1">
        <v>44054</v>
      </c>
      <c r="M608" s="1"/>
      <c r="N608" t="s">
        <v>49</v>
      </c>
    </row>
    <row r="609" spans="1:14" x14ac:dyDescent="0.25">
      <c r="A609">
        <v>1608</v>
      </c>
      <c r="B609">
        <v>26</v>
      </c>
      <c r="C609" t="s">
        <v>32</v>
      </c>
      <c r="D609" t="s">
        <v>27</v>
      </c>
      <c r="E609" t="s">
        <v>20</v>
      </c>
      <c r="F609" t="s">
        <v>45</v>
      </c>
      <c r="G609">
        <v>89893</v>
      </c>
      <c r="H609">
        <v>21</v>
      </c>
      <c r="I609">
        <v>41</v>
      </c>
      <c r="K609">
        <v>10</v>
      </c>
      <c r="L609" s="1">
        <v>44550</v>
      </c>
      <c r="M609" s="1"/>
      <c r="N609" t="s">
        <v>49</v>
      </c>
    </row>
    <row r="610" spans="1:14" x14ac:dyDescent="0.25">
      <c r="A610">
        <v>1609</v>
      </c>
      <c r="B610">
        <v>34</v>
      </c>
      <c r="C610" t="s">
        <v>32</v>
      </c>
      <c r="D610" t="s">
        <v>27</v>
      </c>
      <c r="E610" t="s">
        <v>28</v>
      </c>
      <c r="F610" t="s">
        <v>15</v>
      </c>
      <c r="G610">
        <v>59158</v>
      </c>
      <c r="H610">
        <v>15</v>
      </c>
      <c r="I610">
        <v>18</v>
      </c>
      <c r="J610">
        <v>3</v>
      </c>
      <c r="K610">
        <v>7</v>
      </c>
      <c r="L610" s="1">
        <v>44698</v>
      </c>
      <c r="M610" s="1">
        <v>45021</v>
      </c>
      <c r="N610" t="s">
        <v>50</v>
      </c>
    </row>
    <row r="611" spans="1:14" x14ac:dyDescent="0.25">
      <c r="A611">
        <v>1610</v>
      </c>
      <c r="B611">
        <v>22</v>
      </c>
      <c r="C611" t="s">
        <v>32</v>
      </c>
      <c r="D611" t="s">
        <v>13</v>
      </c>
      <c r="E611" t="s">
        <v>12</v>
      </c>
      <c r="F611" t="s">
        <v>17</v>
      </c>
      <c r="G611">
        <v>61840</v>
      </c>
      <c r="H611">
        <v>22</v>
      </c>
      <c r="I611">
        <v>3</v>
      </c>
      <c r="J611">
        <v>4</v>
      </c>
      <c r="K611">
        <v>1</v>
      </c>
      <c r="L611" s="1">
        <v>44290</v>
      </c>
      <c r="M611" s="1"/>
      <c r="N611" t="s">
        <v>49</v>
      </c>
    </row>
    <row r="612" spans="1:14" x14ac:dyDescent="0.25">
      <c r="A612">
        <v>1611</v>
      </c>
      <c r="B612">
        <v>38</v>
      </c>
      <c r="C612" t="s">
        <v>32</v>
      </c>
      <c r="D612" t="s">
        <v>16</v>
      </c>
      <c r="E612" t="s">
        <v>28</v>
      </c>
      <c r="F612" t="s">
        <v>29</v>
      </c>
      <c r="G612">
        <v>60119</v>
      </c>
      <c r="H612">
        <v>0</v>
      </c>
      <c r="I612">
        <v>60</v>
      </c>
      <c r="J612">
        <v>1</v>
      </c>
      <c r="K612">
        <v>2</v>
      </c>
      <c r="L612" s="1">
        <v>42177</v>
      </c>
      <c r="M612" s="1"/>
      <c r="N612" t="s">
        <v>49</v>
      </c>
    </row>
    <row r="613" spans="1:14" x14ac:dyDescent="0.25">
      <c r="A613">
        <v>1612</v>
      </c>
      <c r="B613">
        <v>29</v>
      </c>
      <c r="C613" t="s">
        <v>32</v>
      </c>
      <c r="D613" t="s">
        <v>22</v>
      </c>
      <c r="E613" t="s">
        <v>25</v>
      </c>
      <c r="F613" t="s">
        <v>29</v>
      </c>
      <c r="G613">
        <v>56580</v>
      </c>
      <c r="H613">
        <v>16</v>
      </c>
      <c r="I613">
        <v>2</v>
      </c>
      <c r="J613">
        <v>1</v>
      </c>
      <c r="K613">
        <v>6</v>
      </c>
      <c r="L613" s="1">
        <v>45271</v>
      </c>
      <c r="M613" s="1">
        <v>44374</v>
      </c>
      <c r="N613" t="s">
        <v>50</v>
      </c>
    </row>
    <row r="614" spans="1:14" x14ac:dyDescent="0.25">
      <c r="A614">
        <v>1613</v>
      </c>
      <c r="B614">
        <v>44</v>
      </c>
      <c r="C614" t="s">
        <v>32</v>
      </c>
      <c r="D614" t="s">
        <v>27</v>
      </c>
      <c r="E614" t="s">
        <v>28</v>
      </c>
      <c r="F614" t="s">
        <v>45</v>
      </c>
      <c r="G614">
        <v>65433</v>
      </c>
      <c r="H614">
        <v>29</v>
      </c>
      <c r="I614">
        <v>41</v>
      </c>
      <c r="J614">
        <v>2</v>
      </c>
      <c r="K614">
        <v>1</v>
      </c>
      <c r="L614" s="1">
        <v>43116</v>
      </c>
      <c r="M614" s="1"/>
      <c r="N614" t="s">
        <v>49</v>
      </c>
    </row>
    <row r="615" spans="1:14" x14ac:dyDescent="0.25">
      <c r="A615">
        <v>1614</v>
      </c>
      <c r="B615">
        <v>58</v>
      </c>
      <c r="C615" t="s">
        <v>31</v>
      </c>
      <c r="D615" t="s">
        <v>22</v>
      </c>
      <c r="E615" t="s">
        <v>14</v>
      </c>
      <c r="F615" t="s">
        <v>17</v>
      </c>
      <c r="G615">
        <v>107042</v>
      </c>
      <c r="H615">
        <v>16</v>
      </c>
      <c r="I615">
        <v>25</v>
      </c>
      <c r="K615">
        <v>1</v>
      </c>
      <c r="L615" s="1">
        <v>42071</v>
      </c>
      <c r="M615" s="1">
        <v>42748</v>
      </c>
      <c r="N615" t="s">
        <v>50</v>
      </c>
    </row>
    <row r="616" spans="1:14" x14ac:dyDescent="0.25">
      <c r="A616">
        <v>1615</v>
      </c>
      <c r="B616">
        <v>51</v>
      </c>
      <c r="C616" t="s">
        <v>32</v>
      </c>
      <c r="D616" t="s">
        <v>16</v>
      </c>
      <c r="E616" t="s">
        <v>20</v>
      </c>
      <c r="F616" t="s">
        <v>21</v>
      </c>
      <c r="G616">
        <v>94740</v>
      </c>
      <c r="H616">
        <v>27</v>
      </c>
      <c r="I616">
        <v>20</v>
      </c>
      <c r="J616">
        <v>1</v>
      </c>
      <c r="K616">
        <v>9</v>
      </c>
      <c r="L616" s="1">
        <v>43851</v>
      </c>
      <c r="M616" s="1"/>
      <c r="N616" t="s">
        <v>49</v>
      </c>
    </row>
    <row r="617" spans="1:14" x14ac:dyDescent="0.25">
      <c r="A617">
        <v>1616</v>
      </c>
      <c r="B617">
        <v>52</v>
      </c>
      <c r="C617" t="s">
        <v>31</v>
      </c>
      <c r="D617" t="s">
        <v>13</v>
      </c>
      <c r="E617" t="s">
        <v>25</v>
      </c>
      <c r="F617" t="s">
        <v>45</v>
      </c>
      <c r="G617">
        <v>104188</v>
      </c>
      <c r="H617">
        <v>27</v>
      </c>
      <c r="I617">
        <v>33</v>
      </c>
      <c r="J617">
        <v>1</v>
      </c>
      <c r="K617">
        <v>1</v>
      </c>
      <c r="L617" s="1">
        <v>44851</v>
      </c>
      <c r="M617" s="1"/>
      <c r="N617" t="s">
        <v>49</v>
      </c>
    </row>
    <row r="618" spans="1:14" x14ac:dyDescent="0.25">
      <c r="A618">
        <v>1617</v>
      </c>
      <c r="B618">
        <v>28</v>
      </c>
      <c r="C618" t="s">
        <v>31</v>
      </c>
      <c r="D618" t="s">
        <v>22</v>
      </c>
      <c r="E618" t="s">
        <v>20</v>
      </c>
      <c r="F618" t="s">
        <v>45</v>
      </c>
      <c r="G618">
        <v>58641</v>
      </c>
      <c r="H618">
        <v>3</v>
      </c>
      <c r="I618">
        <v>6</v>
      </c>
      <c r="J618">
        <v>2</v>
      </c>
      <c r="K618">
        <v>9</v>
      </c>
      <c r="L618" s="1">
        <v>42599</v>
      </c>
      <c r="M618" s="1"/>
      <c r="N618" t="s">
        <v>49</v>
      </c>
    </row>
    <row r="619" spans="1:14" x14ac:dyDescent="0.25">
      <c r="A619">
        <v>1618</v>
      </c>
      <c r="B619">
        <v>43</v>
      </c>
      <c r="C619" t="s">
        <v>32</v>
      </c>
      <c r="D619" t="s">
        <v>16</v>
      </c>
      <c r="E619" t="s">
        <v>20</v>
      </c>
      <c r="F619" t="s">
        <v>45</v>
      </c>
      <c r="G619">
        <v>92855</v>
      </c>
      <c r="H619">
        <v>11</v>
      </c>
      <c r="I619">
        <v>58</v>
      </c>
      <c r="J619">
        <v>2</v>
      </c>
      <c r="K619">
        <v>8</v>
      </c>
      <c r="L619" s="1">
        <v>44031</v>
      </c>
      <c r="M619" s="1"/>
      <c r="N619" t="s">
        <v>49</v>
      </c>
    </row>
    <row r="620" spans="1:14" x14ac:dyDescent="0.25">
      <c r="A620">
        <v>1619</v>
      </c>
      <c r="B620">
        <v>57</v>
      </c>
      <c r="C620" t="s">
        <v>32</v>
      </c>
      <c r="D620" t="s">
        <v>23</v>
      </c>
      <c r="E620" t="s">
        <v>12</v>
      </c>
      <c r="F620" t="s">
        <v>45</v>
      </c>
      <c r="G620">
        <v>69123</v>
      </c>
      <c r="H620">
        <v>1</v>
      </c>
      <c r="I620">
        <v>13</v>
      </c>
      <c r="J620">
        <v>2</v>
      </c>
      <c r="K620">
        <v>5</v>
      </c>
      <c r="L620" s="1">
        <v>44554</v>
      </c>
      <c r="M620" s="1">
        <v>44620</v>
      </c>
      <c r="N620" t="s">
        <v>50</v>
      </c>
    </row>
    <row r="621" spans="1:14" x14ac:dyDescent="0.25">
      <c r="A621">
        <v>1620</v>
      </c>
      <c r="B621">
        <v>25</v>
      </c>
      <c r="C621" t="s">
        <v>32</v>
      </c>
      <c r="D621" t="s">
        <v>23</v>
      </c>
      <c r="E621" t="s">
        <v>20</v>
      </c>
      <c r="F621" t="s">
        <v>18</v>
      </c>
      <c r="G621">
        <v>102414</v>
      </c>
      <c r="H621">
        <v>26</v>
      </c>
      <c r="I621">
        <v>19</v>
      </c>
      <c r="J621">
        <v>4</v>
      </c>
      <c r="K621">
        <v>10</v>
      </c>
      <c r="L621" s="1">
        <v>42498</v>
      </c>
      <c r="M621" s="1"/>
      <c r="N621" t="s">
        <v>49</v>
      </c>
    </row>
    <row r="622" spans="1:14" x14ac:dyDescent="0.25">
      <c r="A622">
        <v>1621</v>
      </c>
      <c r="B622">
        <v>21</v>
      </c>
      <c r="C622" t="s">
        <v>32</v>
      </c>
      <c r="D622" t="s">
        <v>13</v>
      </c>
      <c r="E622" t="s">
        <v>12</v>
      </c>
      <c r="F622" t="s">
        <v>17</v>
      </c>
      <c r="G622">
        <v>70103</v>
      </c>
      <c r="H622">
        <v>24</v>
      </c>
      <c r="I622">
        <v>8</v>
      </c>
      <c r="J622">
        <v>5</v>
      </c>
      <c r="K622">
        <v>6</v>
      </c>
      <c r="L622" s="1">
        <v>45592</v>
      </c>
      <c r="M622" s="1"/>
      <c r="N622" t="s">
        <v>49</v>
      </c>
    </row>
    <row r="623" spans="1:14" x14ac:dyDescent="0.25">
      <c r="A623">
        <v>1622</v>
      </c>
      <c r="B623">
        <v>52</v>
      </c>
      <c r="C623" t="s">
        <v>32</v>
      </c>
      <c r="D623" t="s">
        <v>27</v>
      </c>
      <c r="E623" t="s">
        <v>12</v>
      </c>
      <c r="F623" t="s">
        <v>17</v>
      </c>
      <c r="G623">
        <v>85228</v>
      </c>
      <c r="H623">
        <v>16</v>
      </c>
      <c r="I623">
        <v>40</v>
      </c>
      <c r="K623">
        <v>6</v>
      </c>
      <c r="L623" s="1">
        <v>42670</v>
      </c>
      <c r="M623" s="1"/>
      <c r="N623" t="s">
        <v>49</v>
      </c>
    </row>
    <row r="624" spans="1:14" x14ac:dyDescent="0.25">
      <c r="A624">
        <v>1623</v>
      </c>
      <c r="B624">
        <v>44</v>
      </c>
      <c r="C624" t="s">
        <v>32</v>
      </c>
      <c r="D624" t="s">
        <v>22</v>
      </c>
      <c r="E624" t="s">
        <v>28</v>
      </c>
      <c r="F624" t="s">
        <v>18</v>
      </c>
      <c r="G624">
        <v>89012</v>
      </c>
      <c r="H624">
        <v>29</v>
      </c>
      <c r="I624">
        <v>56</v>
      </c>
      <c r="K624">
        <v>2</v>
      </c>
      <c r="L624" s="1">
        <v>44753</v>
      </c>
      <c r="M624" s="1"/>
      <c r="N624" t="s">
        <v>49</v>
      </c>
    </row>
    <row r="625" spans="1:14" x14ac:dyDescent="0.25">
      <c r="A625">
        <v>1624</v>
      </c>
      <c r="B625">
        <v>35</v>
      </c>
      <c r="C625" t="s">
        <v>31</v>
      </c>
      <c r="D625" t="s">
        <v>16</v>
      </c>
      <c r="E625" t="s">
        <v>14</v>
      </c>
      <c r="F625" t="s">
        <v>26</v>
      </c>
      <c r="G625">
        <v>61826</v>
      </c>
      <c r="H625">
        <v>1</v>
      </c>
      <c r="I625">
        <v>51</v>
      </c>
      <c r="J625">
        <v>1</v>
      </c>
      <c r="K625">
        <v>10</v>
      </c>
      <c r="L625" s="1">
        <v>43218</v>
      </c>
      <c r="M625" s="1"/>
      <c r="N625" t="s">
        <v>49</v>
      </c>
    </row>
    <row r="626" spans="1:14" x14ac:dyDescent="0.25">
      <c r="A626">
        <v>1625</v>
      </c>
      <c r="B626">
        <v>27</v>
      </c>
      <c r="C626" t="s">
        <v>31</v>
      </c>
      <c r="D626" t="s">
        <v>23</v>
      </c>
      <c r="E626" t="s">
        <v>25</v>
      </c>
      <c r="F626" t="s">
        <v>26</v>
      </c>
      <c r="G626">
        <v>90670</v>
      </c>
      <c r="H626">
        <v>26</v>
      </c>
      <c r="I626">
        <v>24</v>
      </c>
      <c r="J626">
        <v>3</v>
      </c>
      <c r="K626">
        <v>8</v>
      </c>
      <c r="L626" s="1">
        <v>42827</v>
      </c>
      <c r="M626" s="1">
        <v>44472</v>
      </c>
      <c r="N626" t="s">
        <v>50</v>
      </c>
    </row>
    <row r="627" spans="1:14" x14ac:dyDescent="0.25">
      <c r="A627">
        <v>1626</v>
      </c>
      <c r="B627">
        <v>57</v>
      </c>
      <c r="C627" t="s">
        <v>32</v>
      </c>
      <c r="D627" t="s">
        <v>22</v>
      </c>
      <c r="E627" t="s">
        <v>12</v>
      </c>
      <c r="F627" t="s">
        <v>29</v>
      </c>
      <c r="G627">
        <v>71461</v>
      </c>
      <c r="H627">
        <v>14</v>
      </c>
      <c r="I627">
        <v>59</v>
      </c>
      <c r="J627">
        <v>5</v>
      </c>
      <c r="K627">
        <v>7</v>
      </c>
      <c r="L627" s="1">
        <v>42565</v>
      </c>
      <c r="M627" s="1">
        <v>43881</v>
      </c>
      <c r="N627" t="s">
        <v>50</v>
      </c>
    </row>
    <row r="628" spans="1:14" x14ac:dyDescent="0.25">
      <c r="A628">
        <v>1627</v>
      </c>
      <c r="B628">
        <v>49</v>
      </c>
      <c r="C628" t="s">
        <v>31</v>
      </c>
      <c r="D628" t="s">
        <v>23</v>
      </c>
      <c r="E628" t="s">
        <v>12</v>
      </c>
      <c r="F628" t="s">
        <v>45</v>
      </c>
      <c r="G628">
        <v>96764</v>
      </c>
      <c r="H628">
        <v>7</v>
      </c>
      <c r="I628">
        <v>41</v>
      </c>
      <c r="J628">
        <v>5</v>
      </c>
      <c r="K628">
        <v>1</v>
      </c>
      <c r="L628" s="1">
        <v>44754</v>
      </c>
      <c r="M628" s="1"/>
      <c r="N628" t="s">
        <v>49</v>
      </c>
    </row>
    <row r="629" spans="1:14" x14ac:dyDescent="0.25">
      <c r="A629">
        <v>1628</v>
      </c>
      <c r="B629">
        <v>48</v>
      </c>
      <c r="C629" t="s">
        <v>31</v>
      </c>
      <c r="D629" t="s">
        <v>19</v>
      </c>
      <c r="E629" t="s">
        <v>20</v>
      </c>
      <c r="F629" t="s">
        <v>29</v>
      </c>
      <c r="G629">
        <v>51665</v>
      </c>
      <c r="H629">
        <v>18</v>
      </c>
      <c r="I629">
        <v>12</v>
      </c>
      <c r="J629">
        <v>3</v>
      </c>
      <c r="K629">
        <v>2</v>
      </c>
      <c r="L629" s="1">
        <v>45457</v>
      </c>
      <c r="M629" s="1"/>
      <c r="N629" t="s">
        <v>49</v>
      </c>
    </row>
    <row r="630" spans="1:14" x14ac:dyDescent="0.25">
      <c r="A630">
        <v>1629</v>
      </c>
      <c r="B630">
        <v>55</v>
      </c>
      <c r="C630" t="s">
        <v>31</v>
      </c>
      <c r="D630" t="s">
        <v>23</v>
      </c>
      <c r="E630" t="s">
        <v>28</v>
      </c>
      <c r="F630" t="s">
        <v>26</v>
      </c>
      <c r="G630">
        <v>66164</v>
      </c>
      <c r="H630">
        <v>23</v>
      </c>
      <c r="I630">
        <v>29</v>
      </c>
      <c r="J630">
        <v>4</v>
      </c>
      <c r="K630">
        <v>6</v>
      </c>
      <c r="L630" s="1">
        <v>43307</v>
      </c>
      <c r="M630" s="1"/>
      <c r="N630" t="s">
        <v>49</v>
      </c>
    </row>
    <row r="631" spans="1:14" x14ac:dyDescent="0.25">
      <c r="A631">
        <v>1630</v>
      </c>
      <c r="B631">
        <v>56</v>
      </c>
      <c r="C631" t="s">
        <v>32</v>
      </c>
      <c r="D631" t="s">
        <v>19</v>
      </c>
      <c r="E631" t="s">
        <v>12</v>
      </c>
      <c r="F631" t="s">
        <v>15</v>
      </c>
      <c r="G631">
        <v>50430</v>
      </c>
      <c r="H631">
        <v>17</v>
      </c>
      <c r="I631">
        <v>51</v>
      </c>
      <c r="J631">
        <v>5</v>
      </c>
      <c r="K631">
        <v>8</v>
      </c>
      <c r="L631" s="1">
        <v>44538</v>
      </c>
      <c r="M631" s="1">
        <v>43081</v>
      </c>
      <c r="N631" t="s">
        <v>50</v>
      </c>
    </row>
    <row r="632" spans="1:14" x14ac:dyDescent="0.25">
      <c r="A632">
        <v>1631</v>
      </c>
      <c r="B632">
        <v>60</v>
      </c>
      <c r="C632" t="s">
        <v>32</v>
      </c>
      <c r="D632" t="s">
        <v>23</v>
      </c>
      <c r="E632" t="s">
        <v>25</v>
      </c>
      <c r="F632" t="s">
        <v>18</v>
      </c>
      <c r="G632">
        <v>107714</v>
      </c>
      <c r="H632">
        <v>9</v>
      </c>
      <c r="I632">
        <v>54</v>
      </c>
      <c r="J632">
        <v>5</v>
      </c>
      <c r="K632">
        <v>9</v>
      </c>
      <c r="L632" s="1">
        <v>44419</v>
      </c>
      <c r="M632" s="1"/>
      <c r="N632" t="s">
        <v>49</v>
      </c>
    </row>
    <row r="633" spans="1:14" x14ac:dyDescent="0.25">
      <c r="A633">
        <v>1632</v>
      </c>
      <c r="B633">
        <v>59</v>
      </c>
      <c r="C633" t="s">
        <v>32</v>
      </c>
      <c r="D633" t="s">
        <v>27</v>
      </c>
      <c r="E633" t="s">
        <v>20</v>
      </c>
      <c r="F633" t="s">
        <v>18</v>
      </c>
      <c r="G633">
        <v>57262</v>
      </c>
      <c r="H633">
        <v>4</v>
      </c>
      <c r="I633">
        <v>39</v>
      </c>
      <c r="J633">
        <v>3</v>
      </c>
      <c r="K633">
        <v>10</v>
      </c>
      <c r="L633" s="1">
        <v>42932</v>
      </c>
      <c r="M633" s="1"/>
      <c r="N633" t="s">
        <v>49</v>
      </c>
    </row>
    <row r="634" spans="1:14" x14ac:dyDescent="0.25">
      <c r="A634">
        <v>1633</v>
      </c>
      <c r="B634">
        <v>57</v>
      </c>
      <c r="C634" t="s">
        <v>31</v>
      </c>
      <c r="D634" t="s">
        <v>22</v>
      </c>
      <c r="E634" t="s">
        <v>25</v>
      </c>
      <c r="F634" t="s">
        <v>45</v>
      </c>
      <c r="G634">
        <v>79846</v>
      </c>
      <c r="H634">
        <v>6</v>
      </c>
      <c r="I634">
        <v>39</v>
      </c>
      <c r="K634">
        <v>3</v>
      </c>
      <c r="L634" s="1">
        <v>43483</v>
      </c>
      <c r="M634" s="1"/>
      <c r="N634" t="s">
        <v>49</v>
      </c>
    </row>
    <row r="635" spans="1:14" x14ac:dyDescent="0.25">
      <c r="A635">
        <v>1634</v>
      </c>
      <c r="B635">
        <v>51</v>
      </c>
      <c r="C635" t="s">
        <v>31</v>
      </c>
      <c r="D635" t="s">
        <v>23</v>
      </c>
      <c r="E635" t="s">
        <v>28</v>
      </c>
      <c r="F635" t="s">
        <v>17</v>
      </c>
      <c r="G635">
        <v>92078</v>
      </c>
      <c r="H635">
        <v>5</v>
      </c>
      <c r="I635">
        <v>35</v>
      </c>
      <c r="J635">
        <v>2</v>
      </c>
      <c r="K635">
        <v>7</v>
      </c>
      <c r="L635" s="1">
        <v>43323</v>
      </c>
      <c r="M635" s="1"/>
      <c r="N635" t="s">
        <v>49</v>
      </c>
    </row>
    <row r="636" spans="1:14" x14ac:dyDescent="0.25">
      <c r="A636">
        <v>1635</v>
      </c>
      <c r="B636">
        <v>45</v>
      </c>
      <c r="C636" t="s">
        <v>32</v>
      </c>
      <c r="D636" t="s">
        <v>23</v>
      </c>
      <c r="E636" t="s">
        <v>20</v>
      </c>
      <c r="F636" t="s">
        <v>26</v>
      </c>
      <c r="G636">
        <v>63563</v>
      </c>
      <c r="H636">
        <v>9</v>
      </c>
      <c r="I636">
        <v>16</v>
      </c>
      <c r="J636">
        <v>2</v>
      </c>
      <c r="K636">
        <v>9</v>
      </c>
      <c r="L636" s="1">
        <v>45532</v>
      </c>
      <c r="M636" s="1">
        <v>43102</v>
      </c>
      <c r="N636" t="s">
        <v>50</v>
      </c>
    </row>
    <row r="637" spans="1:14" x14ac:dyDescent="0.25">
      <c r="A637">
        <v>1636</v>
      </c>
      <c r="B637">
        <v>22</v>
      </c>
      <c r="C637" t="s">
        <v>31</v>
      </c>
      <c r="D637" t="s">
        <v>19</v>
      </c>
      <c r="E637" t="s">
        <v>20</v>
      </c>
      <c r="F637" t="s">
        <v>45</v>
      </c>
      <c r="G637">
        <v>74379</v>
      </c>
      <c r="H637">
        <v>9</v>
      </c>
      <c r="I637">
        <v>43</v>
      </c>
      <c r="K637">
        <v>5</v>
      </c>
      <c r="L637" s="1">
        <v>43282</v>
      </c>
      <c r="M637" s="1"/>
      <c r="N637" t="s">
        <v>49</v>
      </c>
    </row>
    <row r="638" spans="1:14" x14ac:dyDescent="0.25">
      <c r="A638">
        <v>1637</v>
      </c>
      <c r="B638">
        <v>57</v>
      </c>
      <c r="C638" t="s">
        <v>31</v>
      </c>
      <c r="D638" t="s">
        <v>27</v>
      </c>
      <c r="E638" t="s">
        <v>12</v>
      </c>
      <c r="F638" t="s">
        <v>21</v>
      </c>
      <c r="G638">
        <v>70866</v>
      </c>
      <c r="H638">
        <v>0</v>
      </c>
      <c r="I638">
        <v>0</v>
      </c>
      <c r="J638">
        <v>3</v>
      </c>
      <c r="K638">
        <v>5</v>
      </c>
      <c r="L638" s="1">
        <v>45206</v>
      </c>
      <c r="M638" s="1"/>
      <c r="N638" t="s">
        <v>49</v>
      </c>
    </row>
    <row r="639" spans="1:14" x14ac:dyDescent="0.25">
      <c r="A639">
        <v>1638</v>
      </c>
      <c r="B639">
        <v>42</v>
      </c>
      <c r="C639" t="s">
        <v>32</v>
      </c>
      <c r="D639" t="s">
        <v>27</v>
      </c>
      <c r="E639" t="s">
        <v>20</v>
      </c>
      <c r="F639" t="s">
        <v>15</v>
      </c>
      <c r="G639">
        <v>107042</v>
      </c>
      <c r="H639">
        <v>27</v>
      </c>
      <c r="I639">
        <v>4</v>
      </c>
      <c r="J639">
        <v>4</v>
      </c>
      <c r="K639">
        <v>3</v>
      </c>
      <c r="L639" s="1">
        <v>44183</v>
      </c>
      <c r="M639" s="1">
        <v>43060</v>
      </c>
      <c r="N639" t="s">
        <v>50</v>
      </c>
    </row>
    <row r="640" spans="1:14" x14ac:dyDescent="0.25">
      <c r="A640">
        <v>1639</v>
      </c>
      <c r="B640">
        <v>27</v>
      </c>
      <c r="C640" t="s">
        <v>31</v>
      </c>
      <c r="D640" t="s">
        <v>19</v>
      </c>
      <c r="E640" t="s">
        <v>12</v>
      </c>
      <c r="F640" t="s">
        <v>21</v>
      </c>
      <c r="G640">
        <v>105499</v>
      </c>
      <c r="H640">
        <v>26</v>
      </c>
      <c r="I640">
        <v>49</v>
      </c>
      <c r="K640">
        <v>7</v>
      </c>
      <c r="L640" s="1">
        <v>43133</v>
      </c>
      <c r="M640" s="1"/>
      <c r="N640" t="s">
        <v>49</v>
      </c>
    </row>
    <row r="641" spans="1:14" x14ac:dyDescent="0.25">
      <c r="A641">
        <v>1640</v>
      </c>
      <c r="B641">
        <v>48</v>
      </c>
      <c r="C641" t="s">
        <v>31</v>
      </c>
      <c r="D641" t="s">
        <v>16</v>
      </c>
      <c r="E641" t="s">
        <v>25</v>
      </c>
      <c r="F641" t="s">
        <v>15</v>
      </c>
      <c r="G641">
        <v>78053</v>
      </c>
      <c r="H641">
        <v>12</v>
      </c>
      <c r="I641">
        <v>59</v>
      </c>
      <c r="J641">
        <v>5</v>
      </c>
      <c r="K641">
        <v>1</v>
      </c>
      <c r="L641" s="1">
        <v>42513</v>
      </c>
      <c r="M641" s="1">
        <v>43620</v>
      </c>
      <c r="N641" t="s">
        <v>50</v>
      </c>
    </row>
    <row r="642" spans="1:14" x14ac:dyDescent="0.25">
      <c r="A642">
        <v>1641</v>
      </c>
      <c r="B642">
        <v>32</v>
      </c>
      <c r="C642" t="s">
        <v>31</v>
      </c>
      <c r="D642" t="s">
        <v>19</v>
      </c>
      <c r="E642" t="s">
        <v>12</v>
      </c>
      <c r="F642" t="s">
        <v>18</v>
      </c>
      <c r="G642">
        <v>100801</v>
      </c>
      <c r="H642">
        <v>6</v>
      </c>
      <c r="I642">
        <v>3</v>
      </c>
      <c r="J642">
        <v>4</v>
      </c>
      <c r="K642">
        <v>9</v>
      </c>
      <c r="L642" s="1">
        <v>45101</v>
      </c>
      <c r="M642" s="1"/>
      <c r="N642" t="s">
        <v>49</v>
      </c>
    </row>
    <row r="643" spans="1:14" x14ac:dyDescent="0.25">
      <c r="A643">
        <v>1642</v>
      </c>
      <c r="B643">
        <v>47</v>
      </c>
      <c r="C643" t="s">
        <v>31</v>
      </c>
      <c r="D643" t="s">
        <v>19</v>
      </c>
      <c r="E643" t="s">
        <v>28</v>
      </c>
      <c r="F643" t="s">
        <v>18</v>
      </c>
      <c r="G643">
        <v>89899</v>
      </c>
      <c r="H643">
        <v>19</v>
      </c>
      <c r="I643">
        <v>15</v>
      </c>
      <c r="K643">
        <v>8</v>
      </c>
      <c r="L643" s="1">
        <v>43700</v>
      </c>
      <c r="M643" s="1">
        <v>44695</v>
      </c>
      <c r="N643" t="s">
        <v>50</v>
      </c>
    </row>
    <row r="644" spans="1:14" x14ac:dyDescent="0.25">
      <c r="A644">
        <v>1643</v>
      </c>
      <c r="B644">
        <v>33</v>
      </c>
      <c r="C644" t="s">
        <v>32</v>
      </c>
      <c r="D644" t="s">
        <v>22</v>
      </c>
      <c r="E644" t="s">
        <v>25</v>
      </c>
      <c r="F644" t="s">
        <v>18</v>
      </c>
      <c r="G644">
        <v>70831</v>
      </c>
      <c r="H644">
        <v>24</v>
      </c>
      <c r="I644">
        <v>35</v>
      </c>
      <c r="J644">
        <v>2</v>
      </c>
      <c r="K644">
        <v>3</v>
      </c>
      <c r="L644" s="1">
        <v>43270</v>
      </c>
      <c r="M644" s="1">
        <v>43760</v>
      </c>
      <c r="N644" t="s">
        <v>50</v>
      </c>
    </row>
    <row r="645" spans="1:14" x14ac:dyDescent="0.25">
      <c r="A645">
        <v>1644</v>
      </c>
      <c r="B645">
        <v>47</v>
      </c>
      <c r="C645" t="s">
        <v>31</v>
      </c>
      <c r="D645" t="s">
        <v>22</v>
      </c>
      <c r="E645" t="s">
        <v>12</v>
      </c>
      <c r="F645" t="s">
        <v>21</v>
      </c>
      <c r="G645">
        <v>103915</v>
      </c>
      <c r="H645">
        <v>9</v>
      </c>
      <c r="I645">
        <v>1</v>
      </c>
      <c r="J645">
        <v>5</v>
      </c>
      <c r="K645">
        <v>1</v>
      </c>
      <c r="L645" s="1">
        <v>45166</v>
      </c>
      <c r="M645" s="1">
        <v>44381</v>
      </c>
      <c r="N645" t="s">
        <v>50</v>
      </c>
    </row>
    <row r="646" spans="1:14" x14ac:dyDescent="0.25">
      <c r="A646">
        <v>1645</v>
      </c>
      <c r="B646">
        <v>56</v>
      </c>
      <c r="C646" t="s">
        <v>31</v>
      </c>
      <c r="D646" t="s">
        <v>13</v>
      </c>
      <c r="E646" t="s">
        <v>25</v>
      </c>
      <c r="F646" t="s">
        <v>45</v>
      </c>
      <c r="G646">
        <v>91136</v>
      </c>
      <c r="H646">
        <v>7</v>
      </c>
      <c r="I646">
        <v>46</v>
      </c>
      <c r="J646">
        <v>2</v>
      </c>
      <c r="K646">
        <v>3</v>
      </c>
      <c r="L646" s="1">
        <v>43485</v>
      </c>
      <c r="M646" s="1"/>
      <c r="N646" t="s">
        <v>49</v>
      </c>
    </row>
    <row r="647" spans="1:14" x14ac:dyDescent="0.25">
      <c r="A647">
        <v>1646</v>
      </c>
      <c r="B647">
        <v>28</v>
      </c>
      <c r="C647" t="s">
        <v>31</v>
      </c>
      <c r="D647" t="s">
        <v>22</v>
      </c>
      <c r="E647" t="s">
        <v>25</v>
      </c>
      <c r="F647" t="s">
        <v>45</v>
      </c>
      <c r="G647">
        <v>68004</v>
      </c>
      <c r="H647">
        <v>1</v>
      </c>
      <c r="I647">
        <v>56</v>
      </c>
      <c r="J647">
        <v>2</v>
      </c>
      <c r="K647">
        <v>7</v>
      </c>
      <c r="L647" s="1">
        <v>45157</v>
      </c>
      <c r="M647" s="1"/>
      <c r="N647" t="s">
        <v>49</v>
      </c>
    </row>
    <row r="648" spans="1:14" x14ac:dyDescent="0.25">
      <c r="A648">
        <v>1647</v>
      </c>
      <c r="B648">
        <v>50</v>
      </c>
      <c r="C648" t="s">
        <v>31</v>
      </c>
      <c r="D648" t="s">
        <v>16</v>
      </c>
      <c r="E648" t="s">
        <v>25</v>
      </c>
      <c r="F648" t="s">
        <v>21</v>
      </c>
      <c r="G648">
        <v>106752</v>
      </c>
      <c r="H648">
        <v>20</v>
      </c>
      <c r="I648">
        <v>44</v>
      </c>
      <c r="J648">
        <v>2</v>
      </c>
      <c r="K648">
        <v>7</v>
      </c>
      <c r="L648" s="1">
        <v>42351</v>
      </c>
      <c r="M648" s="1"/>
      <c r="N648" t="s">
        <v>49</v>
      </c>
    </row>
    <row r="649" spans="1:14" x14ac:dyDescent="0.25">
      <c r="A649">
        <v>1648</v>
      </c>
      <c r="B649">
        <v>50</v>
      </c>
      <c r="C649" t="s">
        <v>32</v>
      </c>
      <c r="D649" t="s">
        <v>27</v>
      </c>
      <c r="E649" t="s">
        <v>28</v>
      </c>
      <c r="F649" t="s">
        <v>21</v>
      </c>
      <c r="G649">
        <v>94533</v>
      </c>
      <c r="H649">
        <v>5</v>
      </c>
      <c r="I649">
        <v>59</v>
      </c>
      <c r="J649">
        <v>2</v>
      </c>
      <c r="K649">
        <v>2</v>
      </c>
      <c r="L649" s="1">
        <v>44000</v>
      </c>
      <c r="M649" s="1"/>
      <c r="N649" t="s">
        <v>49</v>
      </c>
    </row>
    <row r="650" spans="1:14" x14ac:dyDescent="0.25">
      <c r="A650">
        <v>1649</v>
      </c>
      <c r="B650">
        <v>54</v>
      </c>
      <c r="C650" t="s">
        <v>31</v>
      </c>
      <c r="D650" t="s">
        <v>13</v>
      </c>
      <c r="E650" t="s">
        <v>12</v>
      </c>
      <c r="F650" t="s">
        <v>21</v>
      </c>
      <c r="G650">
        <v>104348</v>
      </c>
      <c r="H650">
        <v>19</v>
      </c>
      <c r="I650">
        <v>56</v>
      </c>
      <c r="K650">
        <v>1</v>
      </c>
      <c r="L650" s="1">
        <v>43789</v>
      </c>
      <c r="M650" s="1"/>
      <c r="N650" t="s">
        <v>49</v>
      </c>
    </row>
    <row r="651" spans="1:14" x14ac:dyDescent="0.25">
      <c r="A651">
        <v>1650</v>
      </c>
      <c r="B651">
        <v>25</v>
      </c>
      <c r="C651" t="s">
        <v>31</v>
      </c>
      <c r="D651" t="s">
        <v>27</v>
      </c>
      <c r="E651" t="s">
        <v>28</v>
      </c>
      <c r="F651" t="s">
        <v>26</v>
      </c>
      <c r="G651">
        <v>81020</v>
      </c>
      <c r="H651">
        <v>16</v>
      </c>
      <c r="I651">
        <v>37</v>
      </c>
      <c r="J651">
        <v>5</v>
      </c>
      <c r="K651">
        <v>8</v>
      </c>
      <c r="L651" s="1">
        <v>43575</v>
      </c>
      <c r="M651" s="1">
        <v>45069</v>
      </c>
      <c r="N651" t="s">
        <v>50</v>
      </c>
    </row>
    <row r="652" spans="1:14" x14ac:dyDescent="0.25">
      <c r="A652">
        <v>1651</v>
      </c>
      <c r="B652">
        <v>43</v>
      </c>
      <c r="C652" t="s">
        <v>31</v>
      </c>
      <c r="D652" t="s">
        <v>19</v>
      </c>
      <c r="E652" t="s">
        <v>14</v>
      </c>
      <c r="F652" t="s">
        <v>26</v>
      </c>
      <c r="G652">
        <v>45106</v>
      </c>
      <c r="H652">
        <v>17</v>
      </c>
      <c r="I652">
        <v>25</v>
      </c>
      <c r="J652">
        <v>3</v>
      </c>
      <c r="K652">
        <v>8</v>
      </c>
      <c r="L652" s="1">
        <v>43307</v>
      </c>
      <c r="M652" s="1"/>
      <c r="N652" t="s">
        <v>49</v>
      </c>
    </row>
    <row r="653" spans="1:14" x14ac:dyDescent="0.25">
      <c r="A653">
        <v>1652</v>
      </c>
      <c r="B653">
        <v>45</v>
      </c>
      <c r="C653" t="s">
        <v>32</v>
      </c>
      <c r="D653" t="s">
        <v>23</v>
      </c>
      <c r="E653" t="s">
        <v>25</v>
      </c>
      <c r="F653" t="s">
        <v>26</v>
      </c>
      <c r="G653">
        <v>81156</v>
      </c>
      <c r="H653">
        <v>1</v>
      </c>
      <c r="I653">
        <v>11</v>
      </c>
      <c r="J653">
        <v>3</v>
      </c>
      <c r="K653">
        <v>10</v>
      </c>
      <c r="L653" s="1">
        <v>42192</v>
      </c>
      <c r="M653" s="1"/>
      <c r="N653" t="s">
        <v>49</v>
      </c>
    </row>
    <row r="654" spans="1:14" x14ac:dyDescent="0.25">
      <c r="A654">
        <v>1653</v>
      </c>
      <c r="B654">
        <v>24</v>
      </c>
      <c r="C654" t="s">
        <v>31</v>
      </c>
      <c r="D654" t="s">
        <v>19</v>
      </c>
      <c r="E654" t="s">
        <v>25</v>
      </c>
      <c r="F654" t="s">
        <v>15</v>
      </c>
      <c r="G654">
        <v>93249</v>
      </c>
      <c r="H654">
        <v>12</v>
      </c>
      <c r="I654">
        <v>43</v>
      </c>
      <c r="J654">
        <v>3</v>
      </c>
      <c r="K654">
        <v>7</v>
      </c>
      <c r="L654" s="1">
        <v>42029</v>
      </c>
      <c r="M654" s="1"/>
      <c r="N654" t="s">
        <v>49</v>
      </c>
    </row>
    <row r="655" spans="1:14" x14ac:dyDescent="0.25">
      <c r="A655">
        <v>1654</v>
      </c>
      <c r="B655">
        <v>59</v>
      </c>
      <c r="C655" t="s">
        <v>32</v>
      </c>
      <c r="D655" t="s">
        <v>13</v>
      </c>
      <c r="E655" t="s">
        <v>20</v>
      </c>
      <c r="F655" t="s">
        <v>21</v>
      </c>
      <c r="G655">
        <v>53869</v>
      </c>
      <c r="H655">
        <v>3</v>
      </c>
      <c r="I655">
        <v>2</v>
      </c>
      <c r="J655">
        <v>1</v>
      </c>
      <c r="K655">
        <v>4</v>
      </c>
      <c r="L655" s="1">
        <v>45147</v>
      </c>
      <c r="M655" s="1"/>
      <c r="N655" t="s">
        <v>49</v>
      </c>
    </row>
    <row r="656" spans="1:14" x14ac:dyDescent="0.25">
      <c r="A656">
        <v>1655</v>
      </c>
      <c r="B656">
        <v>28</v>
      </c>
      <c r="C656" t="s">
        <v>31</v>
      </c>
      <c r="D656" t="s">
        <v>23</v>
      </c>
      <c r="E656" t="s">
        <v>12</v>
      </c>
      <c r="F656" t="s">
        <v>15</v>
      </c>
      <c r="G656">
        <v>94735</v>
      </c>
      <c r="H656">
        <v>23</v>
      </c>
      <c r="I656">
        <v>25</v>
      </c>
      <c r="J656">
        <v>1</v>
      </c>
      <c r="K656">
        <v>5</v>
      </c>
      <c r="L656" s="1">
        <v>42894</v>
      </c>
      <c r="M656" s="1"/>
      <c r="N656" t="s">
        <v>49</v>
      </c>
    </row>
    <row r="657" spans="1:14" x14ac:dyDescent="0.25">
      <c r="A657">
        <v>1656</v>
      </c>
      <c r="B657">
        <v>50</v>
      </c>
      <c r="C657" t="s">
        <v>31</v>
      </c>
      <c r="D657" t="s">
        <v>27</v>
      </c>
      <c r="E657" t="s">
        <v>12</v>
      </c>
      <c r="F657" t="s">
        <v>29</v>
      </c>
      <c r="G657">
        <v>87633</v>
      </c>
      <c r="H657">
        <v>15</v>
      </c>
      <c r="I657">
        <v>56</v>
      </c>
      <c r="J657">
        <v>4</v>
      </c>
      <c r="K657">
        <v>4</v>
      </c>
      <c r="L657" s="1">
        <v>44689</v>
      </c>
      <c r="M657" s="1"/>
      <c r="N657" t="s">
        <v>49</v>
      </c>
    </row>
    <row r="658" spans="1:14" x14ac:dyDescent="0.25">
      <c r="A658">
        <v>1657</v>
      </c>
      <c r="B658">
        <v>37</v>
      </c>
      <c r="C658" t="s">
        <v>32</v>
      </c>
      <c r="D658" t="s">
        <v>23</v>
      </c>
      <c r="E658" t="s">
        <v>12</v>
      </c>
      <c r="F658" t="s">
        <v>45</v>
      </c>
      <c r="G658">
        <v>76206</v>
      </c>
      <c r="H658">
        <v>13</v>
      </c>
      <c r="I658">
        <v>27</v>
      </c>
      <c r="J658">
        <v>2</v>
      </c>
      <c r="K658">
        <v>10</v>
      </c>
      <c r="L658" s="1">
        <v>44821</v>
      </c>
      <c r="M658" s="1">
        <v>44154</v>
      </c>
      <c r="N658" t="s">
        <v>50</v>
      </c>
    </row>
    <row r="659" spans="1:14" x14ac:dyDescent="0.25">
      <c r="A659">
        <v>1658</v>
      </c>
      <c r="B659">
        <v>44</v>
      </c>
      <c r="C659" t="s">
        <v>32</v>
      </c>
      <c r="D659" t="s">
        <v>27</v>
      </c>
      <c r="E659" t="s">
        <v>12</v>
      </c>
      <c r="F659" t="s">
        <v>26</v>
      </c>
      <c r="G659">
        <v>66008</v>
      </c>
      <c r="H659">
        <v>24</v>
      </c>
      <c r="I659">
        <v>27</v>
      </c>
      <c r="J659">
        <v>5</v>
      </c>
      <c r="K659">
        <v>9</v>
      </c>
      <c r="L659" s="1">
        <v>45576</v>
      </c>
      <c r="M659" s="1">
        <v>44991</v>
      </c>
      <c r="N659" t="s">
        <v>50</v>
      </c>
    </row>
    <row r="660" spans="1:14" x14ac:dyDescent="0.25">
      <c r="A660">
        <v>1659</v>
      </c>
      <c r="B660">
        <v>35</v>
      </c>
      <c r="C660" t="s">
        <v>31</v>
      </c>
      <c r="D660" t="s">
        <v>16</v>
      </c>
      <c r="E660" t="s">
        <v>20</v>
      </c>
      <c r="F660" t="s">
        <v>45</v>
      </c>
      <c r="G660">
        <v>82395</v>
      </c>
      <c r="H660">
        <v>30</v>
      </c>
      <c r="I660">
        <v>53</v>
      </c>
      <c r="J660">
        <v>5</v>
      </c>
      <c r="K660">
        <v>8</v>
      </c>
      <c r="L660" s="1">
        <v>44990</v>
      </c>
      <c r="M660" s="1">
        <v>45162</v>
      </c>
      <c r="N660" t="s">
        <v>50</v>
      </c>
    </row>
    <row r="661" spans="1:14" x14ac:dyDescent="0.25">
      <c r="A661">
        <v>1660</v>
      </c>
      <c r="B661">
        <v>55</v>
      </c>
      <c r="C661" t="s">
        <v>31</v>
      </c>
      <c r="D661" t="s">
        <v>23</v>
      </c>
      <c r="E661" t="s">
        <v>28</v>
      </c>
      <c r="F661" t="s">
        <v>15</v>
      </c>
      <c r="G661">
        <v>51032</v>
      </c>
      <c r="H661">
        <v>30</v>
      </c>
      <c r="I661">
        <v>42</v>
      </c>
      <c r="J661">
        <v>2</v>
      </c>
      <c r="K661">
        <v>2</v>
      </c>
      <c r="L661" s="1">
        <v>44351</v>
      </c>
      <c r="M661" s="1"/>
      <c r="N661" t="s">
        <v>49</v>
      </c>
    </row>
    <row r="662" spans="1:14" x14ac:dyDescent="0.25">
      <c r="A662">
        <v>1661</v>
      </c>
      <c r="B662">
        <v>58</v>
      </c>
      <c r="C662" t="s">
        <v>31</v>
      </c>
      <c r="D662" t="s">
        <v>19</v>
      </c>
      <c r="E662" t="s">
        <v>14</v>
      </c>
      <c r="F662" t="s">
        <v>26</v>
      </c>
      <c r="G662">
        <v>60661</v>
      </c>
      <c r="H662">
        <v>0</v>
      </c>
      <c r="I662">
        <v>36</v>
      </c>
      <c r="J662">
        <v>5</v>
      </c>
      <c r="K662">
        <v>5</v>
      </c>
      <c r="L662" s="1">
        <v>42281</v>
      </c>
      <c r="M662" s="1">
        <v>44992</v>
      </c>
      <c r="N662" t="s">
        <v>50</v>
      </c>
    </row>
    <row r="663" spans="1:14" x14ac:dyDescent="0.25">
      <c r="A663">
        <v>1662</v>
      </c>
      <c r="B663">
        <v>23</v>
      </c>
      <c r="C663" t="s">
        <v>32</v>
      </c>
      <c r="D663" t="s">
        <v>16</v>
      </c>
      <c r="E663" t="s">
        <v>20</v>
      </c>
      <c r="F663" t="s">
        <v>21</v>
      </c>
      <c r="G663">
        <v>70679</v>
      </c>
      <c r="H663">
        <v>10</v>
      </c>
      <c r="I663">
        <v>49</v>
      </c>
      <c r="J663">
        <v>3</v>
      </c>
      <c r="K663">
        <v>10</v>
      </c>
      <c r="L663" s="1">
        <v>44005</v>
      </c>
      <c r="M663" s="1">
        <v>45552</v>
      </c>
      <c r="N663" t="s">
        <v>50</v>
      </c>
    </row>
    <row r="664" spans="1:14" x14ac:dyDescent="0.25">
      <c r="A664">
        <v>1663</v>
      </c>
      <c r="B664">
        <v>41</v>
      </c>
      <c r="C664" t="s">
        <v>31</v>
      </c>
      <c r="D664" t="s">
        <v>27</v>
      </c>
      <c r="E664" t="s">
        <v>12</v>
      </c>
      <c r="F664" t="s">
        <v>26</v>
      </c>
      <c r="G664">
        <v>84660</v>
      </c>
      <c r="H664">
        <v>23</v>
      </c>
      <c r="I664">
        <v>37</v>
      </c>
      <c r="J664">
        <v>3</v>
      </c>
      <c r="K664">
        <v>7</v>
      </c>
      <c r="L664" s="1">
        <v>42941</v>
      </c>
      <c r="M664" s="1"/>
      <c r="N664" t="s">
        <v>49</v>
      </c>
    </row>
    <row r="665" spans="1:14" x14ac:dyDescent="0.25">
      <c r="A665">
        <v>1664</v>
      </c>
      <c r="B665">
        <v>59</v>
      </c>
      <c r="C665" t="s">
        <v>32</v>
      </c>
      <c r="D665" t="s">
        <v>27</v>
      </c>
      <c r="E665" t="s">
        <v>14</v>
      </c>
      <c r="F665" t="s">
        <v>29</v>
      </c>
      <c r="G665">
        <v>94833</v>
      </c>
      <c r="H665">
        <v>4</v>
      </c>
      <c r="I665">
        <v>8</v>
      </c>
      <c r="J665">
        <v>5</v>
      </c>
      <c r="K665">
        <v>3</v>
      </c>
      <c r="L665" s="1">
        <v>44512</v>
      </c>
      <c r="M665" s="1"/>
      <c r="N665" t="s">
        <v>49</v>
      </c>
    </row>
    <row r="666" spans="1:14" x14ac:dyDescent="0.25">
      <c r="A666">
        <v>1665</v>
      </c>
      <c r="B666">
        <v>60</v>
      </c>
      <c r="C666" t="s">
        <v>31</v>
      </c>
      <c r="D666" t="s">
        <v>27</v>
      </c>
      <c r="E666" t="s">
        <v>25</v>
      </c>
      <c r="F666" t="s">
        <v>15</v>
      </c>
      <c r="G666">
        <v>60917</v>
      </c>
      <c r="H666">
        <v>14</v>
      </c>
      <c r="I666">
        <v>51</v>
      </c>
      <c r="J666">
        <v>4</v>
      </c>
      <c r="K666">
        <v>1</v>
      </c>
      <c r="L666" s="1">
        <v>45135</v>
      </c>
      <c r="M666" s="1"/>
      <c r="N666" t="s">
        <v>49</v>
      </c>
    </row>
    <row r="667" spans="1:14" x14ac:dyDescent="0.25">
      <c r="A667">
        <v>1666</v>
      </c>
      <c r="B667">
        <v>34</v>
      </c>
      <c r="C667" t="s">
        <v>31</v>
      </c>
      <c r="D667" t="s">
        <v>22</v>
      </c>
      <c r="E667" t="s">
        <v>20</v>
      </c>
      <c r="F667" t="s">
        <v>45</v>
      </c>
      <c r="G667">
        <v>101833</v>
      </c>
      <c r="H667">
        <v>3</v>
      </c>
      <c r="I667">
        <v>10</v>
      </c>
      <c r="J667">
        <v>4</v>
      </c>
      <c r="K667">
        <v>7</v>
      </c>
      <c r="L667" s="1">
        <v>45430</v>
      </c>
      <c r="M667" s="1"/>
      <c r="N667" t="s">
        <v>49</v>
      </c>
    </row>
    <row r="668" spans="1:14" x14ac:dyDescent="0.25">
      <c r="A668">
        <v>1667</v>
      </c>
      <c r="B668">
        <v>26</v>
      </c>
      <c r="C668" t="s">
        <v>32</v>
      </c>
      <c r="D668" t="s">
        <v>27</v>
      </c>
      <c r="E668" t="s">
        <v>25</v>
      </c>
      <c r="F668" t="s">
        <v>45</v>
      </c>
      <c r="G668">
        <v>68545</v>
      </c>
      <c r="H668">
        <v>16</v>
      </c>
      <c r="I668">
        <v>40</v>
      </c>
      <c r="J668">
        <v>2</v>
      </c>
      <c r="K668">
        <v>5</v>
      </c>
      <c r="L668" s="1">
        <v>44440</v>
      </c>
      <c r="M668" s="1"/>
      <c r="N668" t="s">
        <v>49</v>
      </c>
    </row>
    <row r="669" spans="1:14" x14ac:dyDescent="0.25">
      <c r="A669">
        <v>1668</v>
      </c>
      <c r="B669">
        <v>50</v>
      </c>
      <c r="C669" t="s">
        <v>32</v>
      </c>
      <c r="D669" t="s">
        <v>13</v>
      </c>
      <c r="E669" t="s">
        <v>12</v>
      </c>
      <c r="F669" t="s">
        <v>21</v>
      </c>
      <c r="G669">
        <v>79326</v>
      </c>
      <c r="H669">
        <v>11</v>
      </c>
      <c r="I669">
        <v>51</v>
      </c>
      <c r="J669">
        <v>3</v>
      </c>
      <c r="K669">
        <v>9</v>
      </c>
      <c r="L669" s="1">
        <v>43602</v>
      </c>
      <c r="M669" s="1">
        <v>44849</v>
      </c>
      <c r="N669" t="s">
        <v>50</v>
      </c>
    </row>
    <row r="670" spans="1:14" x14ac:dyDescent="0.25">
      <c r="A670">
        <v>1669</v>
      </c>
      <c r="B670">
        <v>23</v>
      </c>
      <c r="C670" t="s">
        <v>32</v>
      </c>
      <c r="D670" t="s">
        <v>22</v>
      </c>
      <c r="E670" t="s">
        <v>12</v>
      </c>
      <c r="F670" t="s">
        <v>21</v>
      </c>
      <c r="G670">
        <v>50189</v>
      </c>
      <c r="H670">
        <v>15</v>
      </c>
      <c r="I670">
        <v>19</v>
      </c>
      <c r="J670">
        <v>2</v>
      </c>
      <c r="K670">
        <v>3</v>
      </c>
      <c r="L670" s="1">
        <v>44845</v>
      </c>
      <c r="M670" s="1">
        <v>43305</v>
      </c>
      <c r="N670" t="s">
        <v>50</v>
      </c>
    </row>
    <row r="671" spans="1:14" x14ac:dyDescent="0.25">
      <c r="A671">
        <v>1670</v>
      </c>
      <c r="B671">
        <v>36</v>
      </c>
      <c r="C671" t="s">
        <v>32</v>
      </c>
      <c r="D671" t="s">
        <v>27</v>
      </c>
      <c r="E671" t="s">
        <v>20</v>
      </c>
      <c r="F671" t="s">
        <v>15</v>
      </c>
      <c r="G671">
        <v>49177</v>
      </c>
      <c r="H671">
        <v>23</v>
      </c>
      <c r="I671">
        <v>23</v>
      </c>
      <c r="K671">
        <v>8</v>
      </c>
      <c r="L671" s="1">
        <v>43354</v>
      </c>
      <c r="M671" s="1"/>
      <c r="N671" t="s">
        <v>49</v>
      </c>
    </row>
    <row r="672" spans="1:14" x14ac:dyDescent="0.25">
      <c r="A672">
        <v>1671</v>
      </c>
      <c r="B672">
        <v>31</v>
      </c>
      <c r="C672" t="s">
        <v>32</v>
      </c>
      <c r="D672" t="s">
        <v>22</v>
      </c>
      <c r="E672" t="s">
        <v>25</v>
      </c>
      <c r="F672" t="s">
        <v>45</v>
      </c>
      <c r="G672">
        <v>107148</v>
      </c>
      <c r="H672">
        <v>5</v>
      </c>
      <c r="I672">
        <v>59</v>
      </c>
      <c r="J672">
        <v>3</v>
      </c>
      <c r="K672">
        <v>9</v>
      </c>
      <c r="L672" s="1">
        <v>43438</v>
      </c>
      <c r="M672" s="1">
        <v>45058</v>
      </c>
      <c r="N672" t="s">
        <v>50</v>
      </c>
    </row>
    <row r="673" spans="1:14" x14ac:dyDescent="0.25">
      <c r="A673">
        <v>1672</v>
      </c>
      <c r="B673">
        <v>38</v>
      </c>
      <c r="C673" t="s">
        <v>31</v>
      </c>
      <c r="D673" t="s">
        <v>23</v>
      </c>
      <c r="E673" t="s">
        <v>20</v>
      </c>
      <c r="F673" t="s">
        <v>18</v>
      </c>
      <c r="G673">
        <v>57095</v>
      </c>
      <c r="H673">
        <v>30</v>
      </c>
      <c r="I673">
        <v>13</v>
      </c>
      <c r="K673">
        <v>6</v>
      </c>
      <c r="L673" s="1">
        <v>44326</v>
      </c>
      <c r="M673" s="1">
        <v>44127</v>
      </c>
      <c r="N673" t="s">
        <v>50</v>
      </c>
    </row>
    <row r="674" spans="1:14" x14ac:dyDescent="0.25">
      <c r="A674">
        <v>1673</v>
      </c>
      <c r="B674">
        <v>39</v>
      </c>
      <c r="C674" t="s">
        <v>31</v>
      </c>
      <c r="D674" t="s">
        <v>19</v>
      </c>
      <c r="E674" t="s">
        <v>20</v>
      </c>
      <c r="F674" t="s">
        <v>21</v>
      </c>
      <c r="G674">
        <v>49256</v>
      </c>
      <c r="H674">
        <v>23</v>
      </c>
      <c r="I674">
        <v>30</v>
      </c>
      <c r="J674">
        <v>1</v>
      </c>
      <c r="K674">
        <v>3</v>
      </c>
      <c r="L674" s="1">
        <v>43715</v>
      </c>
      <c r="M674" s="1"/>
      <c r="N674" t="s">
        <v>49</v>
      </c>
    </row>
    <row r="675" spans="1:14" x14ac:dyDescent="0.25">
      <c r="A675">
        <v>1674</v>
      </c>
      <c r="B675">
        <v>42</v>
      </c>
      <c r="C675" t="s">
        <v>31</v>
      </c>
      <c r="D675" t="s">
        <v>22</v>
      </c>
      <c r="E675" t="s">
        <v>28</v>
      </c>
      <c r="F675" t="s">
        <v>29</v>
      </c>
      <c r="G675">
        <v>60989</v>
      </c>
      <c r="H675">
        <v>26</v>
      </c>
      <c r="I675">
        <v>44</v>
      </c>
      <c r="J675">
        <v>3</v>
      </c>
      <c r="K675">
        <v>5</v>
      </c>
      <c r="L675" s="1">
        <v>44970</v>
      </c>
      <c r="M675" s="1"/>
      <c r="N675" t="s">
        <v>49</v>
      </c>
    </row>
    <row r="676" spans="1:14" x14ac:dyDescent="0.25">
      <c r="A676">
        <v>1675</v>
      </c>
      <c r="B676">
        <v>29</v>
      </c>
      <c r="C676" t="s">
        <v>32</v>
      </c>
      <c r="D676" t="s">
        <v>16</v>
      </c>
      <c r="E676" t="s">
        <v>25</v>
      </c>
      <c r="F676" t="s">
        <v>15</v>
      </c>
      <c r="G676">
        <v>85744</v>
      </c>
      <c r="H676">
        <v>14</v>
      </c>
      <c r="I676">
        <v>13</v>
      </c>
      <c r="K676">
        <v>8</v>
      </c>
      <c r="L676" s="1">
        <v>43290</v>
      </c>
      <c r="M676" s="1">
        <v>42555</v>
      </c>
      <c r="N676" t="s">
        <v>50</v>
      </c>
    </row>
    <row r="677" spans="1:14" x14ac:dyDescent="0.25">
      <c r="A677">
        <v>1676</v>
      </c>
      <c r="B677">
        <v>24</v>
      </c>
      <c r="C677" t="s">
        <v>32</v>
      </c>
      <c r="D677" t="s">
        <v>16</v>
      </c>
      <c r="E677" t="s">
        <v>28</v>
      </c>
      <c r="F677" t="s">
        <v>26</v>
      </c>
      <c r="G677">
        <v>93480</v>
      </c>
      <c r="H677">
        <v>1</v>
      </c>
      <c r="I677">
        <v>5</v>
      </c>
      <c r="J677">
        <v>2</v>
      </c>
      <c r="K677">
        <v>3</v>
      </c>
      <c r="L677" s="1">
        <v>42265</v>
      </c>
      <c r="M677" s="1">
        <v>43679</v>
      </c>
      <c r="N677" t="s">
        <v>50</v>
      </c>
    </row>
    <row r="678" spans="1:14" x14ac:dyDescent="0.25">
      <c r="A678">
        <v>1677</v>
      </c>
      <c r="B678">
        <v>34</v>
      </c>
      <c r="C678" t="s">
        <v>31</v>
      </c>
      <c r="D678" t="s">
        <v>27</v>
      </c>
      <c r="E678" t="s">
        <v>25</v>
      </c>
      <c r="F678" t="s">
        <v>15</v>
      </c>
      <c r="G678">
        <v>89959</v>
      </c>
      <c r="H678">
        <v>27</v>
      </c>
      <c r="I678">
        <v>31</v>
      </c>
      <c r="J678">
        <v>4</v>
      </c>
      <c r="K678">
        <v>2</v>
      </c>
      <c r="L678" s="1">
        <v>45020</v>
      </c>
      <c r="M678" s="1">
        <v>43965</v>
      </c>
      <c r="N678" t="s">
        <v>50</v>
      </c>
    </row>
    <row r="679" spans="1:14" x14ac:dyDescent="0.25">
      <c r="A679">
        <v>1678</v>
      </c>
      <c r="B679">
        <v>25</v>
      </c>
      <c r="C679" t="s">
        <v>31</v>
      </c>
      <c r="D679" t="s">
        <v>23</v>
      </c>
      <c r="E679" t="s">
        <v>12</v>
      </c>
      <c r="F679" t="s">
        <v>29</v>
      </c>
      <c r="G679">
        <v>67413</v>
      </c>
      <c r="H679">
        <v>4</v>
      </c>
      <c r="I679">
        <v>39</v>
      </c>
      <c r="J679">
        <v>2</v>
      </c>
      <c r="K679">
        <v>2</v>
      </c>
      <c r="L679" s="1">
        <v>44691</v>
      </c>
      <c r="M679" s="1">
        <v>44359</v>
      </c>
      <c r="N679" t="s">
        <v>50</v>
      </c>
    </row>
    <row r="680" spans="1:14" x14ac:dyDescent="0.25">
      <c r="A680">
        <v>1679</v>
      </c>
      <c r="B680">
        <v>60</v>
      </c>
      <c r="C680" t="s">
        <v>32</v>
      </c>
      <c r="D680" t="s">
        <v>23</v>
      </c>
      <c r="E680" t="s">
        <v>25</v>
      </c>
      <c r="F680" t="s">
        <v>21</v>
      </c>
      <c r="G680">
        <v>101548</v>
      </c>
      <c r="H680">
        <v>18</v>
      </c>
      <c r="I680">
        <v>10</v>
      </c>
      <c r="J680">
        <v>3</v>
      </c>
      <c r="K680">
        <v>7</v>
      </c>
      <c r="L680" s="1">
        <v>42802</v>
      </c>
      <c r="M680" s="1"/>
      <c r="N680" t="s">
        <v>49</v>
      </c>
    </row>
    <row r="681" spans="1:14" x14ac:dyDescent="0.25">
      <c r="A681">
        <v>1680</v>
      </c>
      <c r="B681">
        <v>24</v>
      </c>
      <c r="C681" t="s">
        <v>32</v>
      </c>
      <c r="D681" t="s">
        <v>22</v>
      </c>
      <c r="E681" t="s">
        <v>12</v>
      </c>
      <c r="F681" t="s">
        <v>17</v>
      </c>
      <c r="G681">
        <v>102623</v>
      </c>
      <c r="H681">
        <v>4</v>
      </c>
      <c r="I681">
        <v>33</v>
      </c>
      <c r="J681">
        <v>3</v>
      </c>
      <c r="K681">
        <v>6</v>
      </c>
      <c r="L681" s="1">
        <v>42906</v>
      </c>
      <c r="M681" s="1"/>
      <c r="N681" t="s">
        <v>49</v>
      </c>
    </row>
    <row r="682" spans="1:14" x14ac:dyDescent="0.25">
      <c r="A682">
        <v>1681</v>
      </c>
      <c r="B682">
        <v>49</v>
      </c>
      <c r="C682" t="s">
        <v>32</v>
      </c>
      <c r="D682" t="s">
        <v>23</v>
      </c>
      <c r="E682" t="s">
        <v>12</v>
      </c>
      <c r="F682" t="s">
        <v>45</v>
      </c>
      <c r="G682">
        <v>90580</v>
      </c>
      <c r="H682">
        <v>7</v>
      </c>
      <c r="I682">
        <v>24</v>
      </c>
      <c r="J682">
        <v>3</v>
      </c>
      <c r="K682">
        <v>1</v>
      </c>
      <c r="L682" s="1">
        <v>44717</v>
      </c>
      <c r="M682" s="1">
        <v>43644</v>
      </c>
      <c r="N682" t="s">
        <v>50</v>
      </c>
    </row>
    <row r="683" spans="1:14" x14ac:dyDescent="0.25">
      <c r="A683">
        <v>1682</v>
      </c>
      <c r="B683">
        <v>36</v>
      </c>
      <c r="C683" t="s">
        <v>32</v>
      </c>
      <c r="D683" t="s">
        <v>27</v>
      </c>
      <c r="E683" t="s">
        <v>14</v>
      </c>
      <c r="F683" t="s">
        <v>45</v>
      </c>
      <c r="G683">
        <v>83378</v>
      </c>
      <c r="H683">
        <v>1</v>
      </c>
      <c r="I683">
        <v>8</v>
      </c>
      <c r="J683">
        <v>4</v>
      </c>
      <c r="K683">
        <v>6</v>
      </c>
      <c r="L683" s="1">
        <v>42792</v>
      </c>
      <c r="M683" s="1"/>
      <c r="N683" t="s">
        <v>49</v>
      </c>
    </row>
    <row r="684" spans="1:14" x14ac:dyDescent="0.25">
      <c r="A684">
        <v>1683</v>
      </c>
      <c r="B684">
        <v>47</v>
      </c>
      <c r="C684" t="s">
        <v>32</v>
      </c>
      <c r="D684" t="s">
        <v>23</v>
      </c>
      <c r="E684" t="s">
        <v>25</v>
      </c>
      <c r="F684" t="s">
        <v>15</v>
      </c>
      <c r="G684">
        <v>51372</v>
      </c>
      <c r="H684">
        <v>28</v>
      </c>
      <c r="I684">
        <v>30</v>
      </c>
      <c r="J684">
        <v>2</v>
      </c>
      <c r="K684">
        <v>5</v>
      </c>
      <c r="L684" s="1">
        <v>44259</v>
      </c>
      <c r="M684" s="1">
        <v>42892</v>
      </c>
      <c r="N684" t="s">
        <v>50</v>
      </c>
    </row>
    <row r="685" spans="1:14" x14ac:dyDescent="0.25">
      <c r="A685">
        <v>1684</v>
      </c>
      <c r="B685">
        <v>46</v>
      </c>
      <c r="C685" t="s">
        <v>32</v>
      </c>
      <c r="D685" t="s">
        <v>23</v>
      </c>
      <c r="E685" t="s">
        <v>28</v>
      </c>
      <c r="F685" t="s">
        <v>45</v>
      </c>
      <c r="G685">
        <v>59090</v>
      </c>
      <c r="H685">
        <v>7</v>
      </c>
      <c r="I685">
        <v>53</v>
      </c>
      <c r="K685">
        <v>3</v>
      </c>
      <c r="L685" s="1">
        <v>45372</v>
      </c>
      <c r="M685" s="1"/>
      <c r="N685" t="s">
        <v>49</v>
      </c>
    </row>
    <row r="686" spans="1:14" x14ac:dyDescent="0.25">
      <c r="A686">
        <v>1685</v>
      </c>
      <c r="B686">
        <v>32</v>
      </c>
      <c r="C686" t="s">
        <v>31</v>
      </c>
      <c r="D686" t="s">
        <v>27</v>
      </c>
      <c r="E686" t="s">
        <v>25</v>
      </c>
      <c r="F686" t="s">
        <v>18</v>
      </c>
      <c r="G686">
        <v>76646</v>
      </c>
      <c r="H686">
        <v>30</v>
      </c>
      <c r="I686">
        <v>11</v>
      </c>
      <c r="K686">
        <v>1</v>
      </c>
      <c r="L686" s="1">
        <v>44445</v>
      </c>
      <c r="M686" s="1"/>
      <c r="N686" t="s">
        <v>49</v>
      </c>
    </row>
    <row r="687" spans="1:14" x14ac:dyDescent="0.25">
      <c r="A687">
        <v>1686</v>
      </c>
      <c r="B687">
        <v>57</v>
      </c>
      <c r="C687" t="s">
        <v>32</v>
      </c>
      <c r="D687" t="s">
        <v>23</v>
      </c>
      <c r="E687" t="s">
        <v>20</v>
      </c>
      <c r="F687" t="s">
        <v>17</v>
      </c>
      <c r="G687">
        <v>97848</v>
      </c>
      <c r="H687">
        <v>23</v>
      </c>
      <c r="I687">
        <v>41</v>
      </c>
      <c r="K687">
        <v>4</v>
      </c>
      <c r="L687" s="1">
        <v>44180</v>
      </c>
      <c r="M687" s="1"/>
      <c r="N687" t="s">
        <v>49</v>
      </c>
    </row>
    <row r="688" spans="1:14" x14ac:dyDescent="0.25">
      <c r="A688">
        <v>1687</v>
      </c>
      <c r="B688">
        <v>53</v>
      </c>
      <c r="C688" t="s">
        <v>31</v>
      </c>
      <c r="D688" t="s">
        <v>22</v>
      </c>
      <c r="E688" t="s">
        <v>28</v>
      </c>
      <c r="F688" t="s">
        <v>17</v>
      </c>
      <c r="G688">
        <v>86248</v>
      </c>
      <c r="H688">
        <v>10</v>
      </c>
      <c r="I688">
        <v>27</v>
      </c>
      <c r="J688">
        <v>2</v>
      </c>
      <c r="K688">
        <v>8</v>
      </c>
      <c r="L688" s="1">
        <v>43322</v>
      </c>
      <c r="M688" s="1"/>
      <c r="N688" t="s">
        <v>49</v>
      </c>
    </row>
    <row r="689" spans="1:14" x14ac:dyDescent="0.25">
      <c r="A689">
        <v>1688</v>
      </c>
      <c r="B689">
        <v>37</v>
      </c>
      <c r="C689" t="s">
        <v>32</v>
      </c>
      <c r="D689" t="s">
        <v>23</v>
      </c>
      <c r="E689" t="s">
        <v>20</v>
      </c>
      <c r="F689" t="s">
        <v>21</v>
      </c>
      <c r="G689">
        <v>61715</v>
      </c>
      <c r="H689">
        <v>18</v>
      </c>
      <c r="I689">
        <v>14</v>
      </c>
      <c r="J689">
        <v>4</v>
      </c>
      <c r="K689">
        <v>9</v>
      </c>
      <c r="L689" s="1">
        <v>43025</v>
      </c>
      <c r="M689" s="1"/>
      <c r="N689" t="s">
        <v>49</v>
      </c>
    </row>
    <row r="690" spans="1:14" x14ac:dyDescent="0.25">
      <c r="A690">
        <v>1689</v>
      </c>
      <c r="B690">
        <v>43</v>
      </c>
      <c r="C690" t="s">
        <v>31</v>
      </c>
      <c r="D690" t="s">
        <v>13</v>
      </c>
      <c r="E690" t="s">
        <v>14</v>
      </c>
      <c r="F690" t="s">
        <v>18</v>
      </c>
      <c r="G690">
        <v>86932</v>
      </c>
      <c r="H690">
        <v>6</v>
      </c>
      <c r="I690">
        <v>34</v>
      </c>
      <c r="K690">
        <v>6</v>
      </c>
      <c r="L690" s="1">
        <v>45185</v>
      </c>
      <c r="M690" s="1"/>
      <c r="N690" t="s">
        <v>49</v>
      </c>
    </row>
    <row r="691" spans="1:14" x14ac:dyDescent="0.25">
      <c r="A691">
        <v>1690</v>
      </c>
      <c r="B691">
        <v>31</v>
      </c>
      <c r="C691" t="s">
        <v>32</v>
      </c>
      <c r="D691" t="s">
        <v>19</v>
      </c>
      <c r="E691" t="s">
        <v>28</v>
      </c>
      <c r="F691" t="s">
        <v>29</v>
      </c>
      <c r="G691">
        <v>96687</v>
      </c>
      <c r="H691">
        <v>16</v>
      </c>
      <c r="I691">
        <v>59</v>
      </c>
      <c r="J691">
        <v>2</v>
      </c>
      <c r="K691">
        <v>10</v>
      </c>
      <c r="L691" s="1">
        <v>44229</v>
      </c>
      <c r="M691" s="1"/>
      <c r="N691" t="s">
        <v>49</v>
      </c>
    </row>
    <row r="692" spans="1:14" x14ac:dyDescent="0.25">
      <c r="A692">
        <v>1691</v>
      </c>
      <c r="B692">
        <v>30</v>
      </c>
      <c r="C692" t="s">
        <v>32</v>
      </c>
      <c r="D692" t="s">
        <v>19</v>
      </c>
      <c r="E692" t="s">
        <v>14</v>
      </c>
      <c r="F692" t="s">
        <v>21</v>
      </c>
      <c r="G692">
        <v>48403</v>
      </c>
      <c r="H692">
        <v>19</v>
      </c>
      <c r="I692">
        <v>7</v>
      </c>
      <c r="J692">
        <v>2</v>
      </c>
      <c r="K692">
        <v>2</v>
      </c>
      <c r="L692" s="1">
        <v>42234</v>
      </c>
      <c r="M692" s="1">
        <v>44173</v>
      </c>
      <c r="N692" t="s">
        <v>50</v>
      </c>
    </row>
    <row r="693" spans="1:14" x14ac:dyDescent="0.25">
      <c r="A693">
        <v>1692</v>
      </c>
      <c r="B693">
        <v>59</v>
      </c>
      <c r="C693" t="s">
        <v>32</v>
      </c>
      <c r="D693" t="s">
        <v>19</v>
      </c>
      <c r="E693" t="s">
        <v>12</v>
      </c>
      <c r="F693" t="s">
        <v>29</v>
      </c>
      <c r="G693">
        <v>105766</v>
      </c>
      <c r="H693">
        <v>9</v>
      </c>
      <c r="I693">
        <v>24</v>
      </c>
      <c r="J693">
        <v>2</v>
      </c>
      <c r="K693">
        <v>1</v>
      </c>
      <c r="L693" s="1">
        <v>43571</v>
      </c>
      <c r="M693" s="1">
        <v>44277</v>
      </c>
      <c r="N693" t="s">
        <v>50</v>
      </c>
    </row>
    <row r="694" spans="1:14" x14ac:dyDescent="0.25">
      <c r="A694">
        <v>1693</v>
      </c>
      <c r="B694">
        <v>48</v>
      </c>
      <c r="C694" t="s">
        <v>32</v>
      </c>
      <c r="D694" t="s">
        <v>16</v>
      </c>
      <c r="E694" t="s">
        <v>25</v>
      </c>
      <c r="F694" t="s">
        <v>18</v>
      </c>
      <c r="G694">
        <v>47924</v>
      </c>
      <c r="H694">
        <v>30</v>
      </c>
      <c r="I694">
        <v>58</v>
      </c>
      <c r="J694">
        <v>4</v>
      </c>
      <c r="K694">
        <v>7</v>
      </c>
      <c r="L694" s="1">
        <v>42279</v>
      </c>
      <c r="M694" s="1"/>
      <c r="N694" t="s">
        <v>49</v>
      </c>
    </row>
    <row r="695" spans="1:14" x14ac:dyDescent="0.25">
      <c r="A695">
        <v>1694</v>
      </c>
      <c r="B695">
        <v>33</v>
      </c>
      <c r="C695" t="s">
        <v>31</v>
      </c>
      <c r="D695" t="s">
        <v>19</v>
      </c>
      <c r="E695" t="s">
        <v>12</v>
      </c>
      <c r="F695" t="s">
        <v>29</v>
      </c>
      <c r="G695">
        <v>55897</v>
      </c>
      <c r="H695">
        <v>27</v>
      </c>
      <c r="I695">
        <v>20</v>
      </c>
      <c r="J695">
        <v>1</v>
      </c>
      <c r="K695">
        <v>10</v>
      </c>
      <c r="L695" s="1">
        <v>45282</v>
      </c>
      <c r="M695" s="1">
        <v>42495</v>
      </c>
      <c r="N695" t="s">
        <v>50</v>
      </c>
    </row>
    <row r="696" spans="1:14" x14ac:dyDescent="0.25">
      <c r="A696">
        <v>1695</v>
      </c>
      <c r="B696">
        <v>57</v>
      </c>
      <c r="C696" t="s">
        <v>32</v>
      </c>
      <c r="D696" t="s">
        <v>27</v>
      </c>
      <c r="E696" t="s">
        <v>12</v>
      </c>
      <c r="F696" t="s">
        <v>21</v>
      </c>
      <c r="G696">
        <v>91199</v>
      </c>
      <c r="H696">
        <v>11</v>
      </c>
      <c r="I696">
        <v>5</v>
      </c>
      <c r="J696">
        <v>3</v>
      </c>
      <c r="K696">
        <v>7</v>
      </c>
      <c r="L696" s="1">
        <v>45111</v>
      </c>
      <c r="M696" s="1"/>
      <c r="N696" t="s">
        <v>49</v>
      </c>
    </row>
    <row r="697" spans="1:14" x14ac:dyDescent="0.25">
      <c r="A697">
        <v>1696</v>
      </c>
      <c r="B697">
        <v>56</v>
      </c>
      <c r="C697" t="s">
        <v>32</v>
      </c>
      <c r="D697" t="s">
        <v>22</v>
      </c>
      <c r="E697" t="s">
        <v>14</v>
      </c>
      <c r="F697" t="s">
        <v>29</v>
      </c>
      <c r="G697">
        <v>107889</v>
      </c>
      <c r="H697">
        <v>24</v>
      </c>
      <c r="I697">
        <v>16</v>
      </c>
      <c r="J697">
        <v>1</v>
      </c>
      <c r="K697">
        <v>4</v>
      </c>
      <c r="L697" s="1">
        <v>43451</v>
      </c>
      <c r="M697" s="1">
        <v>44881</v>
      </c>
      <c r="N697" t="s">
        <v>50</v>
      </c>
    </row>
    <row r="698" spans="1:14" x14ac:dyDescent="0.25">
      <c r="A698">
        <v>1697</v>
      </c>
      <c r="B698">
        <v>28</v>
      </c>
      <c r="C698" t="s">
        <v>31</v>
      </c>
      <c r="D698" t="s">
        <v>22</v>
      </c>
      <c r="E698" t="s">
        <v>20</v>
      </c>
      <c r="F698" t="s">
        <v>29</v>
      </c>
      <c r="G698">
        <v>61001</v>
      </c>
      <c r="H698">
        <v>15</v>
      </c>
      <c r="I698">
        <v>28</v>
      </c>
      <c r="J698">
        <v>5</v>
      </c>
      <c r="K698">
        <v>6</v>
      </c>
      <c r="L698" s="1">
        <v>44239</v>
      </c>
      <c r="M698" s="1"/>
      <c r="N698" t="s">
        <v>49</v>
      </c>
    </row>
    <row r="699" spans="1:14" x14ac:dyDescent="0.25">
      <c r="A699">
        <v>1698</v>
      </c>
      <c r="B699">
        <v>58</v>
      </c>
      <c r="C699" t="s">
        <v>32</v>
      </c>
      <c r="D699" t="s">
        <v>22</v>
      </c>
      <c r="E699" t="s">
        <v>12</v>
      </c>
      <c r="F699" t="s">
        <v>15</v>
      </c>
      <c r="G699">
        <v>67751</v>
      </c>
      <c r="H699">
        <v>12</v>
      </c>
      <c r="I699">
        <v>1</v>
      </c>
      <c r="J699">
        <v>5</v>
      </c>
      <c r="K699">
        <v>8</v>
      </c>
      <c r="L699" s="1">
        <v>42752</v>
      </c>
      <c r="M699" s="1"/>
      <c r="N699" t="s">
        <v>49</v>
      </c>
    </row>
    <row r="700" spans="1:14" x14ac:dyDescent="0.25">
      <c r="A700">
        <v>1699</v>
      </c>
      <c r="B700">
        <v>34</v>
      </c>
      <c r="C700" t="s">
        <v>31</v>
      </c>
      <c r="D700" t="s">
        <v>22</v>
      </c>
      <c r="E700" t="s">
        <v>12</v>
      </c>
      <c r="F700" t="s">
        <v>45</v>
      </c>
      <c r="G700">
        <v>65864</v>
      </c>
      <c r="H700">
        <v>28</v>
      </c>
      <c r="I700">
        <v>22</v>
      </c>
      <c r="J700">
        <v>2</v>
      </c>
      <c r="K700">
        <v>8</v>
      </c>
      <c r="L700" s="1">
        <v>45468</v>
      </c>
      <c r="M700" s="1">
        <v>45309</v>
      </c>
      <c r="N700" t="s">
        <v>50</v>
      </c>
    </row>
    <row r="701" spans="1:14" x14ac:dyDescent="0.25">
      <c r="A701">
        <v>1700</v>
      </c>
      <c r="B701">
        <v>52</v>
      </c>
      <c r="C701" t="s">
        <v>31</v>
      </c>
      <c r="D701" t="s">
        <v>13</v>
      </c>
      <c r="E701" t="s">
        <v>14</v>
      </c>
      <c r="F701" t="s">
        <v>15</v>
      </c>
      <c r="G701">
        <v>59794</v>
      </c>
      <c r="H701">
        <v>23</v>
      </c>
      <c r="I701">
        <v>56</v>
      </c>
      <c r="K701">
        <v>5</v>
      </c>
      <c r="L701" s="1">
        <v>45523</v>
      </c>
      <c r="M701" s="1">
        <v>42667</v>
      </c>
      <c r="N701" t="s">
        <v>50</v>
      </c>
    </row>
    <row r="702" spans="1:14" x14ac:dyDescent="0.25">
      <c r="A702">
        <v>1701</v>
      </c>
      <c r="B702">
        <v>40</v>
      </c>
      <c r="C702" t="s">
        <v>32</v>
      </c>
      <c r="D702" t="s">
        <v>23</v>
      </c>
      <c r="E702" t="s">
        <v>28</v>
      </c>
      <c r="F702" t="s">
        <v>15</v>
      </c>
      <c r="G702">
        <v>69441</v>
      </c>
      <c r="H702">
        <v>8</v>
      </c>
      <c r="I702">
        <v>28</v>
      </c>
      <c r="J702">
        <v>3</v>
      </c>
      <c r="K702">
        <v>10</v>
      </c>
      <c r="L702" s="1">
        <v>44747</v>
      </c>
      <c r="M702" s="1"/>
      <c r="N702" t="s">
        <v>49</v>
      </c>
    </row>
    <row r="703" spans="1:14" x14ac:dyDescent="0.25">
      <c r="A703">
        <v>1702</v>
      </c>
      <c r="B703">
        <v>50</v>
      </c>
      <c r="C703" t="s">
        <v>31</v>
      </c>
      <c r="D703" t="s">
        <v>19</v>
      </c>
      <c r="E703" t="s">
        <v>12</v>
      </c>
      <c r="F703" t="s">
        <v>29</v>
      </c>
      <c r="G703">
        <v>48257</v>
      </c>
      <c r="H703">
        <v>5</v>
      </c>
      <c r="I703">
        <v>53</v>
      </c>
      <c r="J703">
        <v>4</v>
      </c>
      <c r="K703">
        <v>5</v>
      </c>
      <c r="L703" s="1">
        <v>42435</v>
      </c>
      <c r="M703" s="1"/>
      <c r="N703" t="s">
        <v>49</v>
      </c>
    </row>
    <row r="704" spans="1:14" x14ac:dyDescent="0.25">
      <c r="A704">
        <v>1703</v>
      </c>
      <c r="B704">
        <v>22</v>
      </c>
      <c r="C704" t="s">
        <v>32</v>
      </c>
      <c r="D704" t="s">
        <v>27</v>
      </c>
      <c r="E704" t="s">
        <v>20</v>
      </c>
      <c r="F704" t="s">
        <v>45</v>
      </c>
      <c r="G704">
        <v>79446</v>
      </c>
      <c r="H704">
        <v>10</v>
      </c>
      <c r="I704">
        <v>20</v>
      </c>
      <c r="J704">
        <v>5</v>
      </c>
      <c r="K704">
        <v>9</v>
      </c>
      <c r="L704" s="1">
        <v>42732</v>
      </c>
      <c r="M704" s="1"/>
      <c r="N704" t="s">
        <v>49</v>
      </c>
    </row>
    <row r="705" spans="1:14" x14ac:dyDescent="0.25">
      <c r="A705">
        <v>1704</v>
      </c>
      <c r="B705">
        <v>23</v>
      </c>
      <c r="C705" t="s">
        <v>32</v>
      </c>
      <c r="D705" t="s">
        <v>27</v>
      </c>
      <c r="E705" t="s">
        <v>28</v>
      </c>
      <c r="F705" t="s">
        <v>21</v>
      </c>
      <c r="G705">
        <v>72395</v>
      </c>
      <c r="H705">
        <v>8</v>
      </c>
      <c r="I705">
        <v>28</v>
      </c>
      <c r="K705">
        <v>4</v>
      </c>
      <c r="L705" s="1">
        <v>42107</v>
      </c>
      <c r="M705" s="1"/>
      <c r="N705" t="s">
        <v>49</v>
      </c>
    </row>
    <row r="706" spans="1:14" x14ac:dyDescent="0.25">
      <c r="A706">
        <v>1705</v>
      </c>
      <c r="B706">
        <v>35</v>
      </c>
      <c r="C706" t="s">
        <v>31</v>
      </c>
      <c r="D706" t="s">
        <v>13</v>
      </c>
      <c r="E706" t="s">
        <v>12</v>
      </c>
      <c r="F706" t="s">
        <v>15</v>
      </c>
      <c r="G706">
        <v>72378</v>
      </c>
      <c r="H706">
        <v>5</v>
      </c>
      <c r="I706">
        <v>51</v>
      </c>
      <c r="J706">
        <v>4</v>
      </c>
      <c r="K706">
        <v>6</v>
      </c>
      <c r="L706" s="1">
        <v>42502</v>
      </c>
      <c r="M706" s="1"/>
      <c r="N706" t="s">
        <v>49</v>
      </c>
    </row>
    <row r="707" spans="1:14" x14ac:dyDescent="0.25">
      <c r="A707">
        <v>1706</v>
      </c>
      <c r="B707">
        <v>36</v>
      </c>
      <c r="C707" t="s">
        <v>32</v>
      </c>
      <c r="D707" t="s">
        <v>19</v>
      </c>
      <c r="E707" t="s">
        <v>20</v>
      </c>
      <c r="F707" t="s">
        <v>15</v>
      </c>
      <c r="G707">
        <v>95479</v>
      </c>
      <c r="H707">
        <v>14</v>
      </c>
      <c r="I707">
        <v>34</v>
      </c>
      <c r="J707">
        <v>2</v>
      </c>
      <c r="K707">
        <v>10</v>
      </c>
      <c r="L707" s="1">
        <v>45063</v>
      </c>
      <c r="M707" s="1"/>
      <c r="N707" t="s">
        <v>49</v>
      </c>
    </row>
    <row r="708" spans="1:14" x14ac:dyDescent="0.25">
      <c r="A708">
        <v>1707</v>
      </c>
      <c r="B708">
        <v>46</v>
      </c>
      <c r="C708" t="s">
        <v>32</v>
      </c>
      <c r="D708" t="s">
        <v>23</v>
      </c>
      <c r="E708" t="s">
        <v>25</v>
      </c>
      <c r="F708" t="s">
        <v>29</v>
      </c>
      <c r="G708">
        <v>79939</v>
      </c>
      <c r="H708">
        <v>6</v>
      </c>
      <c r="I708">
        <v>25</v>
      </c>
      <c r="J708">
        <v>1</v>
      </c>
      <c r="K708">
        <v>3</v>
      </c>
      <c r="L708" s="1">
        <v>44399</v>
      </c>
      <c r="M708" s="1"/>
      <c r="N708" t="s">
        <v>49</v>
      </c>
    </row>
    <row r="709" spans="1:14" x14ac:dyDescent="0.25">
      <c r="A709">
        <v>1708</v>
      </c>
      <c r="B709">
        <v>43</v>
      </c>
      <c r="C709" t="s">
        <v>31</v>
      </c>
      <c r="D709" t="s">
        <v>22</v>
      </c>
      <c r="E709" t="s">
        <v>14</v>
      </c>
      <c r="F709" t="s">
        <v>45</v>
      </c>
      <c r="G709">
        <v>58942</v>
      </c>
      <c r="H709">
        <v>11</v>
      </c>
      <c r="I709">
        <v>31</v>
      </c>
      <c r="J709">
        <v>5</v>
      </c>
      <c r="K709">
        <v>8</v>
      </c>
      <c r="L709" s="1">
        <v>42466</v>
      </c>
      <c r="M709" s="1"/>
      <c r="N709" t="s">
        <v>49</v>
      </c>
    </row>
    <row r="710" spans="1:14" x14ac:dyDescent="0.25">
      <c r="A710">
        <v>1709</v>
      </c>
      <c r="B710">
        <v>45</v>
      </c>
      <c r="C710" t="s">
        <v>31</v>
      </c>
      <c r="D710" t="s">
        <v>22</v>
      </c>
      <c r="E710" t="s">
        <v>25</v>
      </c>
      <c r="F710" t="s">
        <v>18</v>
      </c>
      <c r="G710">
        <v>81225</v>
      </c>
      <c r="H710">
        <v>16</v>
      </c>
      <c r="I710">
        <v>21</v>
      </c>
      <c r="J710">
        <v>1</v>
      </c>
      <c r="K710">
        <v>2</v>
      </c>
      <c r="L710" s="1">
        <v>44121</v>
      </c>
      <c r="M710" s="1"/>
      <c r="N710" t="s">
        <v>49</v>
      </c>
    </row>
    <row r="711" spans="1:14" x14ac:dyDescent="0.25">
      <c r="A711">
        <v>1710</v>
      </c>
      <c r="B711">
        <v>40</v>
      </c>
      <c r="C711" t="s">
        <v>32</v>
      </c>
      <c r="D711" t="s">
        <v>19</v>
      </c>
      <c r="E711" t="s">
        <v>12</v>
      </c>
      <c r="F711" t="s">
        <v>26</v>
      </c>
      <c r="G711">
        <v>95191</v>
      </c>
      <c r="H711">
        <v>15</v>
      </c>
      <c r="I711">
        <v>2</v>
      </c>
      <c r="J711">
        <v>3</v>
      </c>
      <c r="K711">
        <v>5</v>
      </c>
      <c r="L711" s="1">
        <v>42750</v>
      </c>
      <c r="M711" s="1">
        <v>43569</v>
      </c>
      <c r="N711" t="s">
        <v>50</v>
      </c>
    </row>
    <row r="712" spans="1:14" x14ac:dyDescent="0.25">
      <c r="A712">
        <v>1711</v>
      </c>
      <c r="B712">
        <v>46</v>
      </c>
      <c r="C712" t="s">
        <v>31</v>
      </c>
      <c r="D712" t="s">
        <v>27</v>
      </c>
      <c r="E712" t="s">
        <v>12</v>
      </c>
      <c r="F712" t="s">
        <v>45</v>
      </c>
      <c r="G712">
        <v>51934</v>
      </c>
      <c r="H712">
        <v>11</v>
      </c>
      <c r="I712">
        <v>25</v>
      </c>
      <c r="K712">
        <v>3</v>
      </c>
      <c r="L712" s="1">
        <v>43953</v>
      </c>
      <c r="M712" s="1"/>
      <c r="N712" t="s">
        <v>49</v>
      </c>
    </row>
    <row r="713" spans="1:14" x14ac:dyDescent="0.25">
      <c r="A713">
        <v>1712</v>
      </c>
      <c r="B713">
        <v>42</v>
      </c>
      <c r="C713" t="s">
        <v>31</v>
      </c>
      <c r="D713" t="s">
        <v>23</v>
      </c>
      <c r="E713" t="s">
        <v>12</v>
      </c>
      <c r="F713" t="s">
        <v>21</v>
      </c>
      <c r="G713">
        <v>89499</v>
      </c>
      <c r="H713">
        <v>24</v>
      </c>
      <c r="I713">
        <v>43</v>
      </c>
      <c r="J713">
        <v>5</v>
      </c>
      <c r="K713">
        <v>10</v>
      </c>
      <c r="L713" s="1">
        <v>45251</v>
      </c>
      <c r="M713" s="1"/>
      <c r="N713" t="s">
        <v>49</v>
      </c>
    </row>
    <row r="714" spans="1:14" x14ac:dyDescent="0.25">
      <c r="A714">
        <v>1713</v>
      </c>
      <c r="B714">
        <v>46</v>
      </c>
      <c r="C714" t="s">
        <v>31</v>
      </c>
      <c r="D714" t="s">
        <v>23</v>
      </c>
      <c r="E714" t="s">
        <v>25</v>
      </c>
      <c r="F714" t="s">
        <v>21</v>
      </c>
      <c r="G714">
        <v>88087</v>
      </c>
      <c r="H714">
        <v>12</v>
      </c>
      <c r="I714">
        <v>2</v>
      </c>
      <c r="J714">
        <v>4</v>
      </c>
      <c r="K714">
        <v>9</v>
      </c>
      <c r="L714" s="1">
        <v>42168</v>
      </c>
      <c r="M714" s="1"/>
      <c r="N714" t="s">
        <v>49</v>
      </c>
    </row>
    <row r="715" spans="1:14" x14ac:dyDescent="0.25">
      <c r="A715">
        <v>1714</v>
      </c>
      <c r="B715">
        <v>24</v>
      </c>
      <c r="C715" t="s">
        <v>31</v>
      </c>
      <c r="D715" t="s">
        <v>27</v>
      </c>
      <c r="E715" t="s">
        <v>20</v>
      </c>
      <c r="F715" t="s">
        <v>15</v>
      </c>
      <c r="G715">
        <v>56957</v>
      </c>
      <c r="H715">
        <v>28</v>
      </c>
      <c r="I715">
        <v>8</v>
      </c>
      <c r="J715">
        <v>2</v>
      </c>
      <c r="K715">
        <v>7</v>
      </c>
      <c r="L715" s="1">
        <v>44757</v>
      </c>
      <c r="M715" s="1"/>
      <c r="N715" t="s">
        <v>49</v>
      </c>
    </row>
    <row r="716" spans="1:14" x14ac:dyDescent="0.25">
      <c r="A716">
        <v>1715</v>
      </c>
      <c r="B716">
        <v>31</v>
      </c>
      <c r="C716" t="s">
        <v>32</v>
      </c>
      <c r="D716" t="s">
        <v>13</v>
      </c>
      <c r="E716" t="s">
        <v>12</v>
      </c>
      <c r="F716" t="s">
        <v>26</v>
      </c>
      <c r="G716">
        <v>102079</v>
      </c>
      <c r="H716">
        <v>29</v>
      </c>
      <c r="I716">
        <v>36</v>
      </c>
      <c r="J716">
        <v>5</v>
      </c>
      <c r="K716">
        <v>1</v>
      </c>
      <c r="L716" s="1">
        <v>43886</v>
      </c>
      <c r="M716" s="1"/>
      <c r="N716" t="s">
        <v>49</v>
      </c>
    </row>
    <row r="717" spans="1:14" x14ac:dyDescent="0.25">
      <c r="A717">
        <v>1716</v>
      </c>
      <c r="B717">
        <v>30</v>
      </c>
      <c r="C717" t="s">
        <v>32</v>
      </c>
      <c r="D717" t="s">
        <v>22</v>
      </c>
      <c r="E717" t="s">
        <v>20</v>
      </c>
      <c r="F717" t="s">
        <v>45</v>
      </c>
      <c r="G717">
        <v>68732</v>
      </c>
      <c r="H717">
        <v>5</v>
      </c>
      <c r="I717">
        <v>12</v>
      </c>
      <c r="J717">
        <v>2</v>
      </c>
      <c r="K717">
        <v>9</v>
      </c>
      <c r="L717" s="1">
        <v>45225</v>
      </c>
      <c r="M717" s="1">
        <v>43793</v>
      </c>
      <c r="N717" t="s">
        <v>50</v>
      </c>
    </row>
    <row r="718" spans="1:14" x14ac:dyDescent="0.25">
      <c r="A718">
        <v>1717</v>
      </c>
      <c r="B718">
        <v>22</v>
      </c>
      <c r="C718" t="s">
        <v>32</v>
      </c>
      <c r="D718" t="s">
        <v>23</v>
      </c>
      <c r="E718" t="s">
        <v>28</v>
      </c>
      <c r="F718" t="s">
        <v>17</v>
      </c>
      <c r="G718">
        <v>45401</v>
      </c>
      <c r="H718">
        <v>7</v>
      </c>
      <c r="I718">
        <v>9</v>
      </c>
      <c r="K718">
        <v>10</v>
      </c>
      <c r="L718" s="1">
        <v>44039</v>
      </c>
      <c r="M718" s="1"/>
      <c r="N718" t="s">
        <v>49</v>
      </c>
    </row>
    <row r="719" spans="1:14" x14ac:dyDescent="0.25">
      <c r="A719">
        <v>1718</v>
      </c>
      <c r="B719">
        <v>40</v>
      </c>
      <c r="C719" t="s">
        <v>31</v>
      </c>
      <c r="D719" t="s">
        <v>23</v>
      </c>
      <c r="E719" t="s">
        <v>12</v>
      </c>
      <c r="F719" t="s">
        <v>21</v>
      </c>
      <c r="G719">
        <v>73301</v>
      </c>
      <c r="H719">
        <v>27</v>
      </c>
      <c r="I719">
        <v>56</v>
      </c>
      <c r="J719">
        <v>3</v>
      </c>
      <c r="K719">
        <v>1</v>
      </c>
      <c r="L719" s="1">
        <v>43340</v>
      </c>
      <c r="M719" s="1"/>
      <c r="N719" t="s">
        <v>49</v>
      </c>
    </row>
    <row r="720" spans="1:14" x14ac:dyDescent="0.25">
      <c r="A720">
        <v>1719</v>
      </c>
      <c r="B720">
        <v>33</v>
      </c>
      <c r="C720" t="s">
        <v>31</v>
      </c>
      <c r="D720" t="s">
        <v>27</v>
      </c>
      <c r="E720" t="s">
        <v>14</v>
      </c>
      <c r="F720" t="s">
        <v>17</v>
      </c>
      <c r="G720">
        <v>61993</v>
      </c>
      <c r="H720">
        <v>1</v>
      </c>
      <c r="I720">
        <v>54</v>
      </c>
      <c r="J720">
        <v>2</v>
      </c>
      <c r="K720">
        <v>5</v>
      </c>
      <c r="L720" s="1">
        <v>44820</v>
      </c>
      <c r="M720" s="1"/>
      <c r="N720" t="s">
        <v>49</v>
      </c>
    </row>
    <row r="721" spans="1:14" x14ac:dyDescent="0.25">
      <c r="A721">
        <v>1720</v>
      </c>
      <c r="B721">
        <v>23</v>
      </c>
      <c r="C721" t="s">
        <v>32</v>
      </c>
      <c r="D721" t="s">
        <v>23</v>
      </c>
      <c r="E721" t="s">
        <v>20</v>
      </c>
      <c r="F721" t="s">
        <v>29</v>
      </c>
      <c r="G721">
        <v>55763</v>
      </c>
      <c r="H721">
        <v>7</v>
      </c>
      <c r="I721">
        <v>41</v>
      </c>
      <c r="J721">
        <v>3</v>
      </c>
      <c r="K721">
        <v>8</v>
      </c>
      <c r="L721" s="1">
        <v>42189</v>
      </c>
      <c r="M721" s="1">
        <v>44190</v>
      </c>
      <c r="N721" t="s">
        <v>50</v>
      </c>
    </row>
    <row r="722" spans="1:14" x14ac:dyDescent="0.25">
      <c r="A722">
        <v>1721</v>
      </c>
      <c r="B722">
        <v>34</v>
      </c>
      <c r="C722" t="s">
        <v>31</v>
      </c>
      <c r="D722" t="s">
        <v>13</v>
      </c>
      <c r="E722" t="s">
        <v>25</v>
      </c>
      <c r="F722" t="s">
        <v>18</v>
      </c>
      <c r="G722">
        <v>105659</v>
      </c>
      <c r="H722">
        <v>8</v>
      </c>
      <c r="I722">
        <v>4</v>
      </c>
      <c r="J722">
        <v>5</v>
      </c>
      <c r="K722">
        <v>3</v>
      </c>
      <c r="L722" s="1">
        <v>42470</v>
      </c>
      <c r="M722" s="1"/>
      <c r="N722" t="s">
        <v>49</v>
      </c>
    </row>
    <row r="723" spans="1:14" x14ac:dyDescent="0.25">
      <c r="A723">
        <v>1722</v>
      </c>
      <c r="B723">
        <v>51</v>
      </c>
      <c r="C723" t="s">
        <v>32</v>
      </c>
      <c r="D723" t="s">
        <v>13</v>
      </c>
      <c r="E723" t="s">
        <v>14</v>
      </c>
      <c r="F723" t="s">
        <v>29</v>
      </c>
      <c r="G723">
        <v>47572</v>
      </c>
      <c r="H723">
        <v>9</v>
      </c>
      <c r="I723">
        <v>43</v>
      </c>
      <c r="J723">
        <v>1</v>
      </c>
      <c r="K723">
        <v>1</v>
      </c>
      <c r="L723" s="1">
        <v>45548</v>
      </c>
      <c r="M723" s="1"/>
      <c r="N723" t="s">
        <v>49</v>
      </c>
    </row>
    <row r="724" spans="1:14" x14ac:dyDescent="0.25">
      <c r="A724">
        <v>1723</v>
      </c>
      <c r="B724">
        <v>53</v>
      </c>
      <c r="C724" t="s">
        <v>32</v>
      </c>
      <c r="D724" t="s">
        <v>22</v>
      </c>
      <c r="E724" t="s">
        <v>25</v>
      </c>
      <c r="F724" t="s">
        <v>29</v>
      </c>
      <c r="G724">
        <v>89764</v>
      </c>
      <c r="H724">
        <v>6</v>
      </c>
      <c r="I724">
        <v>4</v>
      </c>
      <c r="J724">
        <v>1</v>
      </c>
      <c r="K724">
        <v>6</v>
      </c>
      <c r="L724" s="1">
        <v>44199</v>
      </c>
      <c r="M724" s="1"/>
      <c r="N724" t="s">
        <v>49</v>
      </c>
    </row>
    <row r="725" spans="1:14" x14ac:dyDescent="0.25">
      <c r="A725">
        <v>1724</v>
      </c>
      <c r="B725">
        <v>24</v>
      </c>
      <c r="C725" t="s">
        <v>31</v>
      </c>
      <c r="D725" t="s">
        <v>27</v>
      </c>
      <c r="E725" t="s">
        <v>14</v>
      </c>
      <c r="F725" t="s">
        <v>29</v>
      </c>
      <c r="G725">
        <v>59833</v>
      </c>
      <c r="H725">
        <v>15</v>
      </c>
      <c r="I725">
        <v>29</v>
      </c>
      <c r="J725">
        <v>1</v>
      </c>
      <c r="K725">
        <v>8</v>
      </c>
      <c r="L725" s="1">
        <v>45311</v>
      </c>
      <c r="M725" s="1"/>
      <c r="N725" t="s">
        <v>49</v>
      </c>
    </row>
    <row r="726" spans="1:14" x14ac:dyDescent="0.25">
      <c r="A726">
        <v>1725</v>
      </c>
      <c r="B726">
        <v>45</v>
      </c>
      <c r="C726" t="s">
        <v>32</v>
      </c>
      <c r="D726" t="s">
        <v>16</v>
      </c>
      <c r="E726" t="s">
        <v>14</v>
      </c>
      <c r="F726" t="s">
        <v>45</v>
      </c>
      <c r="G726">
        <v>89209</v>
      </c>
      <c r="H726">
        <v>21</v>
      </c>
      <c r="I726">
        <v>11</v>
      </c>
      <c r="J726">
        <v>3</v>
      </c>
      <c r="K726">
        <v>3</v>
      </c>
      <c r="L726" s="1">
        <v>45104</v>
      </c>
      <c r="M726" s="1"/>
      <c r="N726" t="s">
        <v>49</v>
      </c>
    </row>
    <row r="727" spans="1:14" x14ac:dyDescent="0.25">
      <c r="A727">
        <v>1726</v>
      </c>
      <c r="B727">
        <v>30</v>
      </c>
      <c r="C727" t="s">
        <v>31</v>
      </c>
      <c r="D727" t="s">
        <v>22</v>
      </c>
      <c r="E727" t="s">
        <v>25</v>
      </c>
      <c r="F727" t="s">
        <v>18</v>
      </c>
      <c r="G727">
        <v>73574</v>
      </c>
      <c r="H727">
        <v>6</v>
      </c>
      <c r="I727">
        <v>34</v>
      </c>
      <c r="J727">
        <v>3</v>
      </c>
      <c r="K727">
        <v>4</v>
      </c>
      <c r="L727" s="1">
        <v>42606</v>
      </c>
      <c r="M727" s="1"/>
      <c r="N727" t="s">
        <v>49</v>
      </c>
    </row>
    <row r="728" spans="1:14" x14ac:dyDescent="0.25">
      <c r="A728">
        <v>1727</v>
      </c>
      <c r="B728">
        <v>33</v>
      </c>
      <c r="C728" t="s">
        <v>31</v>
      </c>
      <c r="D728" t="s">
        <v>16</v>
      </c>
      <c r="E728" t="s">
        <v>12</v>
      </c>
      <c r="F728" t="s">
        <v>18</v>
      </c>
      <c r="G728">
        <v>63122</v>
      </c>
      <c r="H728">
        <v>2</v>
      </c>
      <c r="I728">
        <v>46</v>
      </c>
      <c r="K728">
        <v>3</v>
      </c>
      <c r="L728" s="1">
        <v>44335</v>
      </c>
      <c r="M728" s="1">
        <v>44467</v>
      </c>
      <c r="N728" t="s">
        <v>50</v>
      </c>
    </row>
    <row r="729" spans="1:14" x14ac:dyDescent="0.25">
      <c r="A729">
        <v>1728</v>
      </c>
      <c r="B729">
        <v>49</v>
      </c>
      <c r="C729" t="s">
        <v>32</v>
      </c>
      <c r="D729" t="s">
        <v>23</v>
      </c>
      <c r="E729" t="s">
        <v>20</v>
      </c>
      <c r="F729" t="s">
        <v>15</v>
      </c>
      <c r="G729">
        <v>108622</v>
      </c>
      <c r="H729">
        <v>18</v>
      </c>
      <c r="I729">
        <v>50</v>
      </c>
      <c r="J729">
        <v>4</v>
      </c>
      <c r="K729">
        <v>6</v>
      </c>
      <c r="L729" s="1">
        <v>44892</v>
      </c>
      <c r="M729" s="1">
        <v>43253</v>
      </c>
      <c r="N729" t="s">
        <v>50</v>
      </c>
    </row>
    <row r="730" spans="1:14" x14ac:dyDescent="0.25">
      <c r="A730">
        <v>1729</v>
      </c>
      <c r="B730">
        <v>55</v>
      </c>
      <c r="C730" t="s">
        <v>32</v>
      </c>
      <c r="D730" t="s">
        <v>23</v>
      </c>
      <c r="E730" t="s">
        <v>12</v>
      </c>
      <c r="F730" t="s">
        <v>45</v>
      </c>
      <c r="G730">
        <v>78070</v>
      </c>
      <c r="H730">
        <v>1</v>
      </c>
      <c r="I730">
        <v>37</v>
      </c>
      <c r="K730">
        <v>8</v>
      </c>
      <c r="L730" s="1">
        <v>42935</v>
      </c>
      <c r="M730" s="1"/>
      <c r="N730" t="s">
        <v>49</v>
      </c>
    </row>
    <row r="731" spans="1:14" x14ac:dyDescent="0.25">
      <c r="A731">
        <v>1730</v>
      </c>
      <c r="B731">
        <v>22</v>
      </c>
      <c r="C731" t="s">
        <v>32</v>
      </c>
      <c r="D731" t="s">
        <v>27</v>
      </c>
      <c r="E731" t="s">
        <v>28</v>
      </c>
      <c r="F731" t="s">
        <v>45</v>
      </c>
      <c r="G731">
        <v>70034</v>
      </c>
      <c r="H731">
        <v>25</v>
      </c>
      <c r="I731">
        <v>34</v>
      </c>
      <c r="J731">
        <v>3</v>
      </c>
      <c r="K731">
        <v>10</v>
      </c>
      <c r="L731" s="1">
        <v>44604</v>
      </c>
      <c r="M731" s="1">
        <v>42933</v>
      </c>
      <c r="N731" t="s">
        <v>50</v>
      </c>
    </row>
    <row r="732" spans="1:14" x14ac:dyDescent="0.25">
      <c r="A732">
        <v>1731</v>
      </c>
      <c r="B732">
        <v>23</v>
      </c>
      <c r="C732" t="s">
        <v>32</v>
      </c>
      <c r="D732" t="s">
        <v>27</v>
      </c>
      <c r="E732" t="s">
        <v>14</v>
      </c>
      <c r="F732" t="s">
        <v>15</v>
      </c>
      <c r="G732">
        <v>102726</v>
      </c>
      <c r="H732">
        <v>29</v>
      </c>
      <c r="I732">
        <v>54</v>
      </c>
      <c r="J732">
        <v>2</v>
      </c>
      <c r="K732">
        <v>2</v>
      </c>
      <c r="L732" s="1">
        <v>42320</v>
      </c>
      <c r="M732" s="1"/>
      <c r="N732" t="s">
        <v>49</v>
      </c>
    </row>
    <row r="733" spans="1:14" x14ac:dyDescent="0.25">
      <c r="A733">
        <v>1732</v>
      </c>
      <c r="B733">
        <v>53</v>
      </c>
      <c r="C733" t="s">
        <v>32</v>
      </c>
      <c r="D733" t="s">
        <v>22</v>
      </c>
      <c r="E733" t="s">
        <v>14</v>
      </c>
      <c r="F733" t="s">
        <v>17</v>
      </c>
      <c r="G733">
        <v>69996</v>
      </c>
      <c r="H733">
        <v>2</v>
      </c>
      <c r="I733">
        <v>14</v>
      </c>
      <c r="J733">
        <v>2</v>
      </c>
      <c r="K733">
        <v>7</v>
      </c>
      <c r="L733" s="1">
        <v>44632</v>
      </c>
      <c r="M733" s="1"/>
      <c r="N733" t="s">
        <v>49</v>
      </c>
    </row>
    <row r="734" spans="1:14" x14ac:dyDescent="0.25">
      <c r="A734">
        <v>1733</v>
      </c>
      <c r="B734">
        <v>59</v>
      </c>
      <c r="C734" t="s">
        <v>32</v>
      </c>
      <c r="D734" t="s">
        <v>27</v>
      </c>
      <c r="E734" t="s">
        <v>12</v>
      </c>
      <c r="F734" t="s">
        <v>18</v>
      </c>
      <c r="G734">
        <v>83961</v>
      </c>
      <c r="H734">
        <v>9</v>
      </c>
      <c r="I734">
        <v>51</v>
      </c>
      <c r="J734">
        <v>3</v>
      </c>
      <c r="K734">
        <v>6</v>
      </c>
      <c r="L734" s="1">
        <v>43681</v>
      </c>
      <c r="M734" s="1"/>
      <c r="N734" t="s">
        <v>49</v>
      </c>
    </row>
    <row r="735" spans="1:14" x14ac:dyDescent="0.25">
      <c r="A735">
        <v>1734</v>
      </c>
      <c r="B735">
        <v>52</v>
      </c>
      <c r="C735" t="s">
        <v>32</v>
      </c>
      <c r="D735" t="s">
        <v>22</v>
      </c>
      <c r="E735" t="s">
        <v>12</v>
      </c>
      <c r="F735" t="s">
        <v>15</v>
      </c>
      <c r="G735">
        <v>77510</v>
      </c>
      <c r="H735">
        <v>5</v>
      </c>
      <c r="I735">
        <v>14</v>
      </c>
      <c r="J735">
        <v>1</v>
      </c>
      <c r="K735">
        <v>10</v>
      </c>
      <c r="L735" s="1">
        <v>45161</v>
      </c>
      <c r="M735" s="1"/>
      <c r="N735" t="s">
        <v>49</v>
      </c>
    </row>
    <row r="736" spans="1:14" x14ac:dyDescent="0.25">
      <c r="A736">
        <v>1735</v>
      </c>
      <c r="B736">
        <v>59</v>
      </c>
      <c r="C736" t="s">
        <v>31</v>
      </c>
      <c r="D736" t="s">
        <v>27</v>
      </c>
      <c r="E736" t="s">
        <v>20</v>
      </c>
      <c r="F736" t="s">
        <v>18</v>
      </c>
      <c r="G736">
        <v>98337</v>
      </c>
      <c r="H736">
        <v>11</v>
      </c>
      <c r="I736">
        <v>9</v>
      </c>
      <c r="J736">
        <v>3</v>
      </c>
      <c r="K736">
        <v>1</v>
      </c>
      <c r="L736" s="1">
        <v>42744</v>
      </c>
      <c r="M736" s="1"/>
      <c r="N736" t="s">
        <v>49</v>
      </c>
    </row>
    <row r="737" spans="1:14" x14ac:dyDescent="0.25">
      <c r="A737">
        <v>1736</v>
      </c>
      <c r="B737">
        <v>55</v>
      </c>
      <c r="C737" t="s">
        <v>32</v>
      </c>
      <c r="D737" t="s">
        <v>22</v>
      </c>
      <c r="E737" t="s">
        <v>25</v>
      </c>
      <c r="F737" t="s">
        <v>26</v>
      </c>
      <c r="G737">
        <v>83696</v>
      </c>
      <c r="H737">
        <v>3</v>
      </c>
      <c r="I737">
        <v>58</v>
      </c>
      <c r="J737">
        <v>3</v>
      </c>
      <c r="K737">
        <v>5</v>
      </c>
      <c r="L737" s="1">
        <v>45364</v>
      </c>
      <c r="M737" s="1"/>
      <c r="N737" t="s">
        <v>49</v>
      </c>
    </row>
    <row r="738" spans="1:14" x14ac:dyDescent="0.25">
      <c r="A738">
        <v>1737</v>
      </c>
      <c r="B738">
        <v>57</v>
      </c>
      <c r="C738" t="s">
        <v>31</v>
      </c>
      <c r="D738" t="s">
        <v>23</v>
      </c>
      <c r="E738" t="s">
        <v>12</v>
      </c>
      <c r="F738" t="s">
        <v>29</v>
      </c>
      <c r="G738">
        <v>93438</v>
      </c>
      <c r="H738">
        <v>11</v>
      </c>
      <c r="I738">
        <v>59</v>
      </c>
      <c r="K738">
        <v>2</v>
      </c>
      <c r="L738" s="1">
        <v>43315</v>
      </c>
      <c r="M738" s="1"/>
      <c r="N738" t="s">
        <v>49</v>
      </c>
    </row>
    <row r="739" spans="1:14" x14ac:dyDescent="0.25">
      <c r="A739">
        <v>1738</v>
      </c>
      <c r="B739">
        <v>49</v>
      </c>
      <c r="C739" t="s">
        <v>31</v>
      </c>
      <c r="D739" t="s">
        <v>19</v>
      </c>
      <c r="E739" t="s">
        <v>25</v>
      </c>
      <c r="F739" t="s">
        <v>45</v>
      </c>
      <c r="G739">
        <v>46371</v>
      </c>
      <c r="H739">
        <v>23</v>
      </c>
      <c r="I739">
        <v>45</v>
      </c>
      <c r="J739">
        <v>4</v>
      </c>
      <c r="K739">
        <v>5</v>
      </c>
      <c r="L739" s="1">
        <v>42013</v>
      </c>
      <c r="M739" s="1">
        <v>43962</v>
      </c>
      <c r="N739" t="s">
        <v>50</v>
      </c>
    </row>
    <row r="740" spans="1:14" x14ac:dyDescent="0.25">
      <c r="A740">
        <v>1739</v>
      </c>
      <c r="B740">
        <v>30</v>
      </c>
      <c r="C740" t="s">
        <v>32</v>
      </c>
      <c r="D740" t="s">
        <v>22</v>
      </c>
      <c r="E740" t="s">
        <v>14</v>
      </c>
      <c r="F740" t="s">
        <v>15</v>
      </c>
      <c r="G740">
        <v>87526</v>
      </c>
      <c r="H740">
        <v>23</v>
      </c>
      <c r="I740">
        <v>13</v>
      </c>
      <c r="K740">
        <v>8</v>
      </c>
      <c r="L740" s="1">
        <v>43333</v>
      </c>
      <c r="M740" s="1"/>
      <c r="N740" t="s">
        <v>49</v>
      </c>
    </row>
    <row r="741" spans="1:14" x14ac:dyDescent="0.25">
      <c r="A741">
        <v>1740</v>
      </c>
      <c r="B741">
        <v>26</v>
      </c>
      <c r="C741" t="s">
        <v>31</v>
      </c>
      <c r="D741" t="s">
        <v>13</v>
      </c>
      <c r="E741" t="s">
        <v>20</v>
      </c>
      <c r="F741" t="s">
        <v>15</v>
      </c>
      <c r="G741">
        <v>96147</v>
      </c>
      <c r="H741">
        <v>15</v>
      </c>
      <c r="I741">
        <v>43</v>
      </c>
      <c r="J741">
        <v>4</v>
      </c>
      <c r="K741">
        <v>5</v>
      </c>
      <c r="L741" s="1">
        <v>45517</v>
      </c>
      <c r="M741" s="1"/>
      <c r="N741" t="s">
        <v>49</v>
      </c>
    </row>
    <row r="742" spans="1:14" x14ac:dyDescent="0.25">
      <c r="A742">
        <v>1741</v>
      </c>
      <c r="B742">
        <v>44</v>
      </c>
      <c r="C742" t="s">
        <v>32</v>
      </c>
      <c r="D742" t="s">
        <v>13</v>
      </c>
      <c r="E742" t="s">
        <v>20</v>
      </c>
      <c r="F742" t="s">
        <v>45</v>
      </c>
      <c r="G742">
        <v>93357</v>
      </c>
      <c r="H742">
        <v>1</v>
      </c>
      <c r="I742">
        <v>55</v>
      </c>
      <c r="K742">
        <v>4</v>
      </c>
      <c r="L742" s="1">
        <v>44447</v>
      </c>
      <c r="M742" s="1"/>
      <c r="N742" t="s">
        <v>49</v>
      </c>
    </row>
    <row r="743" spans="1:14" x14ac:dyDescent="0.25">
      <c r="A743">
        <v>1742</v>
      </c>
      <c r="B743">
        <v>48</v>
      </c>
      <c r="C743" t="s">
        <v>32</v>
      </c>
      <c r="D743" t="s">
        <v>23</v>
      </c>
      <c r="E743" t="s">
        <v>14</v>
      </c>
      <c r="F743" t="s">
        <v>29</v>
      </c>
      <c r="G743">
        <v>99875</v>
      </c>
      <c r="H743">
        <v>4</v>
      </c>
      <c r="I743">
        <v>0</v>
      </c>
      <c r="J743">
        <v>4</v>
      </c>
      <c r="K743">
        <v>10</v>
      </c>
      <c r="L743" s="1">
        <v>43842</v>
      </c>
      <c r="M743" s="1"/>
      <c r="N743" t="s">
        <v>49</v>
      </c>
    </row>
    <row r="744" spans="1:14" x14ac:dyDescent="0.25">
      <c r="A744">
        <v>1743</v>
      </c>
      <c r="B744">
        <v>41</v>
      </c>
      <c r="C744" t="s">
        <v>31</v>
      </c>
      <c r="D744" t="s">
        <v>19</v>
      </c>
      <c r="E744" t="s">
        <v>14</v>
      </c>
      <c r="F744" t="s">
        <v>26</v>
      </c>
      <c r="G744">
        <v>59611</v>
      </c>
      <c r="H744">
        <v>14</v>
      </c>
      <c r="I744">
        <v>48</v>
      </c>
      <c r="J744">
        <v>1</v>
      </c>
      <c r="K744">
        <v>1</v>
      </c>
      <c r="L744" s="1">
        <v>43988</v>
      </c>
      <c r="M744" s="1">
        <v>45582</v>
      </c>
      <c r="N744" t="s">
        <v>50</v>
      </c>
    </row>
    <row r="745" spans="1:14" x14ac:dyDescent="0.25">
      <c r="A745">
        <v>1744</v>
      </c>
      <c r="B745">
        <v>44</v>
      </c>
      <c r="C745" t="s">
        <v>31</v>
      </c>
      <c r="D745" t="s">
        <v>23</v>
      </c>
      <c r="E745" t="s">
        <v>20</v>
      </c>
      <c r="F745" t="s">
        <v>17</v>
      </c>
      <c r="G745">
        <v>72664</v>
      </c>
      <c r="H745">
        <v>4</v>
      </c>
      <c r="I745">
        <v>54</v>
      </c>
      <c r="J745">
        <v>2</v>
      </c>
      <c r="K745">
        <v>5</v>
      </c>
      <c r="L745" s="1">
        <v>44126</v>
      </c>
      <c r="M745" s="1"/>
      <c r="N745" t="s">
        <v>49</v>
      </c>
    </row>
    <row r="746" spans="1:14" x14ac:dyDescent="0.25">
      <c r="A746">
        <v>1745</v>
      </c>
      <c r="B746">
        <v>53</v>
      </c>
      <c r="C746" t="s">
        <v>31</v>
      </c>
      <c r="D746" t="s">
        <v>23</v>
      </c>
      <c r="E746" t="s">
        <v>14</v>
      </c>
      <c r="F746" t="s">
        <v>18</v>
      </c>
      <c r="G746">
        <v>71539</v>
      </c>
      <c r="H746">
        <v>28</v>
      </c>
      <c r="I746">
        <v>59</v>
      </c>
      <c r="J746">
        <v>5</v>
      </c>
      <c r="K746">
        <v>9</v>
      </c>
      <c r="L746" s="1">
        <v>43406</v>
      </c>
      <c r="M746" s="1"/>
      <c r="N746" t="s">
        <v>49</v>
      </c>
    </row>
    <row r="747" spans="1:14" x14ac:dyDescent="0.25">
      <c r="A747">
        <v>1746</v>
      </c>
      <c r="B747">
        <v>32</v>
      </c>
      <c r="C747" t="s">
        <v>31</v>
      </c>
      <c r="D747" t="s">
        <v>27</v>
      </c>
      <c r="E747" t="s">
        <v>12</v>
      </c>
      <c r="F747" t="s">
        <v>21</v>
      </c>
      <c r="G747">
        <v>56314</v>
      </c>
      <c r="H747">
        <v>12</v>
      </c>
      <c r="I747">
        <v>14</v>
      </c>
      <c r="K747">
        <v>6</v>
      </c>
      <c r="L747" s="1">
        <v>43032</v>
      </c>
      <c r="M747" s="1"/>
      <c r="N747" t="s">
        <v>49</v>
      </c>
    </row>
    <row r="748" spans="1:14" x14ac:dyDescent="0.25">
      <c r="A748">
        <v>1747</v>
      </c>
      <c r="B748">
        <v>24</v>
      </c>
      <c r="C748" t="s">
        <v>31</v>
      </c>
      <c r="D748" t="s">
        <v>22</v>
      </c>
      <c r="E748" t="s">
        <v>25</v>
      </c>
      <c r="F748" t="s">
        <v>29</v>
      </c>
      <c r="G748">
        <v>84798</v>
      </c>
      <c r="H748">
        <v>9</v>
      </c>
      <c r="I748">
        <v>10</v>
      </c>
      <c r="J748">
        <v>4</v>
      </c>
      <c r="K748">
        <v>10</v>
      </c>
      <c r="L748" s="1">
        <v>43692</v>
      </c>
      <c r="M748" s="1"/>
      <c r="N748" t="s">
        <v>49</v>
      </c>
    </row>
    <row r="749" spans="1:14" x14ac:dyDescent="0.25">
      <c r="A749">
        <v>1748</v>
      </c>
      <c r="B749">
        <v>45</v>
      </c>
      <c r="C749" t="s">
        <v>31</v>
      </c>
      <c r="D749" t="s">
        <v>23</v>
      </c>
      <c r="E749" t="s">
        <v>20</v>
      </c>
      <c r="F749" t="s">
        <v>29</v>
      </c>
      <c r="G749">
        <v>53342</v>
      </c>
      <c r="H749">
        <v>4</v>
      </c>
      <c r="I749">
        <v>43</v>
      </c>
      <c r="J749">
        <v>4</v>
      </c>
      <c r="K749">
        <v>6</v>
      </c>
      <c r="L749" s="1">
        <v>42761</v>
      </c>
      <c r="M749" s="1">
        <v>43191</v>
      </c>
      <c r="N749" t="s">
        <v>50</v>
      </c>
    </row>
    <row r="750" spans="1:14" x14ac:dyDescent="0.25">
      <c r="A750">
        <v>1749</v>
      </c>
      <c r="B750">
        <v>60</v>
      </c>
      <c r="C750" t="s">
        <v>32</v>
      </c>
      <c r="D750" t="s">
        <v>23</v>
      </c>
      <c r="E750" t="s">
        <v>20</v>
      </c>
      <c r="F750" t="s">
        <v>26</v>
      </c>
      <c r="G750">
        <v>71216</v>
      </c>
      <c r="H750">
        <v>14</v>
      </c>
      <c r="I750">
        <v>13</v>
      </c>
      <c r="J750">
        <v>4</v>
      </c>
      <c r="K750">
        <v>6</v>
      </c>
      <c r="L750" s="1">
        <v>43031</v>
      </c>
      <c r="M750" s="1"/>
      <c r="N750" t="s">
        <v>49</v>
      </c>
    </row>
    <row r="751" spans="1:14" x14ac:dyDescent="0.25">
      <c r="A751">
        <v>1750</v>
      </c>
      <c r="B751">
        <v>23</v>
      </c>
      <c r="C751" t="s">
        <v>31</v>
      </c>
      <c r="D751" t="s">
        <v>22</v>
      </c>
      <c r="E751" t="s">
        <v>20</v>
      </c>
      <c r="F751" t="s">
        <v>17</v>
      </c>
      <c r="G751">
        <v>100540</v>
      </c>
      <c r="H751">
        <v>18</v>
      </c>
      <c r="I751">
        <v>0</v>
      </c>
      <c r="J751">
        <v>4</v>
      </c>
      <c r="K751">
        <v>2</v>
      </c>
      <c r="L751" s="1">
        <v>44344</v>
      </c>
      <c r="M751" s="1"/>
      <c r="N751" t="s">
        <v>49</v>
      </c>
    </row>
    <row r="752" spans="1:14" x14ac:dyDescent="0.25">
      <c r="A752">
        <v>1751</v>
      </c>
      <c r="B752">
        <v>23</v>
      </c>
      <c r="C752" t="s">
        <v>31</v>
      </c>
      <c r="D752" t="s">
        <v>27</v>
      </c>
      <c r="E752" t="s">
        <v>20</v>
      </c>
      <c r="F752" t="s">
        <v>21</v>
      </c>
      <c r="G752">
        <v>74220</v>
      </c>
      <c r="H752">
        <v>21</v>
      </c>
      <c r="I752">
        <v>47</v>
      </c>
      <c r="J752">
        <v>5</v>
      </c>
      <c r="K752">
        <v>3</v>
      </c>
      <c r="L752" s="1">
        <v>44203</v>
      </c>
      <c r="M752" s="1">
        <v>43468</v>
      </c>
      <c r="N752" t="s">
        <v>50</v>
      </c>
    </row>
    <row r="753" spans="1:14" x14ac:dyDescent="0.25">
      <c r="A753">
        <v>1752</v>
      </c>
      <c r="B753">
        <v>59</v>
      </c>
      <c r="C753" t="s">
        <v>31</v>
      </c>
      <c r="D753" t="s">
        <v>23</v>
      </c>
      <c r="E753" t="s">
        <v>12</v>
      </c>
      <c r="F753" t="s">
        <v>29</v>
      </c>
      <c r="G753">
        <v>58581</v>
      </c>
      <c r="H753">
        <v>19</v>
      </c>
      <c r="I753">
        <v>21</v>
      </c>
      <c r="J753">
        <v>5</v>
      </c>
      <c r="K753">
        <v>7</v>
      </c>
      <c r="L753" s="1">
        <v>44720</v>
      </c>
      <c r="M753" s="1"/>
      <c r="N753" t="s">
        <v>49</v>
      </c>
    </row>
    <row r="754" spans="1:14" x14ac:dyDescent="0.25">
      <c r="A754">
        <v>1753</v>
      </c>
      <c r="B754">
        <v>48</v>
      </c>
      <c r="C754" t="s">
        <v>31</v>
      </c>
      <c r="D754" t="s">
        <v>22</v>
      </c>
      <c r="E754" t="s">
        <v>28</v>
      </c>
      <c r="F754" t="s">
        <v>15</v>
      </c>
      <c r="G754">
        <v>73585</v>
      </c>
      <c r="H754">
        <v>3</v>
      </c>
      <c r="I754">
        <v>49</v>
      </c>
      <c r="J754">
        <v>1</v>
      </c>
      <c r="K754">
        <v>5</v>
      </c>
      <c r="L754" s="1">
        <v>44163</v>
      </c>
      <c r="M754" s="1">
        <v>44534</v>
      </c>
      <c r="N754" t="s">
        <v>50</v>
      </c>
    </row>
    <row r="755" spans="1:14" x14ac:dyDescent="0.25">
      <c r="A755">
        <v>1754</v>
      </c>
      <c r="B755">
        <v>38</v>
      </c>
      <c r="C755" t="s">
        <v>31</v>
      </c>
      <c r="D755" t="s">
        <v>27</v>
      </c>
      <c r="E755" t="s">
        <v>28</v>
      </c>
      <c r="F755" t="s">
        <v>29</v>
      </c>
      <c r="G755">
        <v>71359</v>
      </c>
      <c r="H755">
        <v>7</v>
      </c>
      <c r="I755">
        <v>19</v>
      </c>
      <c r="J755">
        <v>5</v>
      </c>
      <c r="K755">
        <v>9</v>
      </c>
      <c r="L755" s="1">
        <v>43246</v>
      </c>
      <c r="M755" s="1"/>
      <c r="N755" t="s">
        <v>49</v>
      </c>
    </row>
    <row r="756" spans="1:14" x14ac:dyDescent="0.25">
      <c r="A756">
        <v>1755</v>
      </c>
      <c r="B756">
        <v>46</v>
      </c>
      <c r="C756" t="s">
        <v>32</v>
      </c>
      <c r="D756" t="s">
        <v>27</v>
      </c>
      <c r="E756" t="s">
        <v>25</v>
      </c>
      <c r="F756" t="s">
        <v>21</v>
      </c>
      <c r="G756">
        <v>82581</v>
      </c>
      <c r="H756">
        <v>17</v>
      </c>
      <c r="I756">
        <v>17</v>
      </c>
      <c r="J756">
        <v>5</v>
      </c>
      <c r="K756">
        <v>6</v>
      </c>
      <c r="L756" s="1">
        <v>45560</v>
      </c>
      <c r="M756" s="1"/>
      <c r="N756" t="s">
        <v>49</v>
      </c>
    </row>
    <row r="757" spans="1:14" x14ac:dyDescent="0.25">
      <c r="A757">
        <v>1756</v>
      </c>
      <c r="B757">
        <v>27</v>
      </c>
      <c r="C757" t="s">
        <v>31</v>
      </c>
      <c r="D757" t="s">
        <v>19</v>
      </c>
      <c r="E757" t="s">
        <v>25</v>
      </c>
      <c r="F757" t="s">
        <v>26</v>
      </c>
      <c r="G757">
        <v>66421</v>
      </c>
      <c r="H757">
        <v>14</v>
      </c>
      <c r="I757">
        <v>20</v>
      </c>
      <c r="K757">
        <v>1</v>
      </c>
      <c r="L757" s="1">
        <v>42110</v>
      </c>
      <c r="M757" s="1"/>
      <c r="N757" t="s">
        <v>49</v>
      </c>
    </row>
    <row r="758" spans="1:14" x14ac:dyDescent="0.25">
      <c r="A758">
        <v>1757</v>
      </c>
      <c r="B758">
        <v>25</v>
      </c>
      <c r="C758" t="s">
        <v>31</v>
      </c>
      <c r="D758" t="s">
        <v>22</v>
      </c>
      <c r="E758" t="s">
        <v>25</v>
      </c>
      <c r="F758" t="s">
        <v>17</v>
      </c>
      <c r="G758">
        <v>92991</v>
      </c>
      <c r="H758">
        <v>7</v>
      </c>
      <c r="I758">
        <v>28</v>
      </c>
      <c r="J758">
        <v>2</v>
      </c>
      <c r="K758">
        <v>6</v>
      </c>
      <c r="L758" s="1">
        <v>43625</v>
      </c>
      <c r="M758" s="1"/>
      <c r="N758" t="s">
        <v>49</v>
      </c>
    </row>
    <row r="759" spans="1:14" x14ac:dyDescent="0.25">
      <c r="A759">
        <v>1758</v>
      </c>
      <c r="B759">
        <v>43</v>
      </c>
      <c r="C759" t="s">
        <v>31</v>
      </c>
      <c r="D759" t="s">
        <v>27</v>
      </c>
      <c r="E759" t="s">
        <v>12</v>
      </c>
      <c r="F759" t="s">
        <v>45</v>
      </c>
      <c r="G759">
        <v>52368</v>
      </c>
      <c r="H759">
        <v>0</v>
      </c>
      <c r="I759">
        <v>10</v>
      </c>
      <c r="J759">
        <v>3</v>
      </c>
      <c r="K759">
        <v>1</v>
      </c>
      <c r="L759" s="1">
        <v>43900</v>
      </c>
      <c r="M759" s="1"/>
      <c r="N759" t="s">
        <v>49</v>
      </c>
    </row>
    <row r="760" spans="1:14" x14ac:dyDescent="0.25">
      <c r="A760">
        <v>1759</v>
      </c>
      <c r="B760">
        <v>32</v>
      </c>
      <c r="C760" t="s">
        <v>31</v>
      </c>
      <c r="D760" t="s">
        <v>13</v>
      </c>
      <c r="E760" t="s">
        <v>28</v>
      </c>
      <c r="F760" t="s">
        <v>29</v>
      </c>
      <c r="G760">
        <v>74139</v>
      </c>
      <c r="H760">
        <v>15</v>
      </c>
      <c r="I760">
        <v>32</v>
      </c>
      <c r="J760">
        <v>4</v>
      </c>
      <c r="K760">
        <v>3</v>
      </c>
      <c r="L760" s="1">
        <v>42684</v>
      </c>
      <c r="M760" s="1"/>
      <c r="N760" t="s">
        <v>49</v>
      </c>
    </row>
    <row r="761" spans="1:14" x14ac:dyDescent="0.25">
      <c r="A761">
        <v>1760</v>
      </c>
      <c r="B761">
        <v>27</v>
      </c>
      <c r="C761" t="s">
        <v>32</v>
      </c>
      <c r="D761" t="s">
        <v>27</v>
      </c>
      <c r="E761" t="s">
        <v>28</v>
      </c>
      <c r="F761" t="s">
        <v>21</v>
      </c>
      <c r="G761">
        <v>109551</v>
      </c>
      <c r="H761">
        <v>19</v>
      </c>
      <c r="I761">
        <v>12</v>
      </c>
      <c r="K761">
        <v>8</v>
      </c>
      <c r="L761" s="1">
        <v>45115</v>
      </c>
      <c r="M761" s="1"/>
      <c r="N761" t="s">
        <v>49</v>
      </c>
    </row>
    <row r="762" spans="1:14" x14ac:dyDescent="0.25">
      <c r="A762">
        <v>1761</v>
      </c>
      <c r="B762">
        <v>36</v>
      </c>
      <c r="C762" t="s">
        <v>32</v>
      </c>
      <c r="D762" t="s">
        <v>19</v>
      </c>
      <c r="E762" t="s">
        <v>20</v>
      </c>
      <c r="F762" t="s">
        <v>15</v>
      </c>
      <c r="G762">
        <v>58144</v>
      </c>
      <c r="H762">
        <v>16</v>
      </c>
      <c r="I762">
        <v>59</v>
      </c>
      <c r="J762">
        <v>3</v>
      </c>
      <c r="K762">
        <v>1</v>
      </c>
      <c r="L762" s="1">
        <v>44353</v>
      </c>
      <c r="M762" s="1">
        <v>42944</v>
      </c>
      <c r="N762" t="s">
        <v>50</v>
      </c>
    </row>
    <row r="763" spans="1:14" x14ac:dyDescent="0.25">
      <c r="A763">
        <v>1762</v>
      </c>
      <c r="B763">
        <v>43</v>
      </c>
      <c r="C763" t="s">
        <v>31</v>
      </c>
      <c r="D763" t="s">
        <v>16</v>
      </c>
      <c r="E763" t="s">
        <v>12</v>
      </c>
      <c r="F763" t="s">
        <v>45</v>
      </c>
      <c r="G763">
        <v>83390</v>
      </c>
      <c r="H763">
        <v>9</v>
      </c>
      <c r="I763">
        <v>12</v>
      </c>
      <c r="K763">
        <v>2</v>
      </c>
      <c r="L763" s="1">
        <v>43384</v>
      </c>
      <c r="M763" s="1"/>
      <c r="N763" t="s">
        <v>49</v>
      </c>
    </row>
    <row r="764" spans="1:14" x14ac:dyDescent="0.25">
      <c r="A764">
        <v>1763</v>
      </c>
      <c r="B764">
        <v>23</v>
      </c>
      <c r="C764" t="s">
        <v>31</v>
      </c>
      <c r="D764" t="s">
        <v>23</v>
      </c>
      <c r="E764" t="s">
        <v>25</v>
      </c>
      <c r="F764" t="s">
        <v>18</v>
      </c>
      <c r="G764">
        <v>47462</v>
      </c>
      <c r="H764">
        <v>17</v>
      </c>
      <c r="I764">
        <v>25</v>
      </c>
      <c r="K764">
        <v>7</v>
      </c>
      <c r="L764" s="1">
        <v>43762</v>
      </c>
      <c r="M764" s="1">
        <v>43321</v>
      </c>
      <c r="N764" t="s">
        <v>50</v>
      </c>
    </row>
    <row r="765" spans="1:14" x14ac:dyDescent="0.25">
      <c r="A765">
        <v>1764</v>
      </c>
      <c r="B765">
        <v>41</v>
      </c>
      <c r="C765" t="s">
        <v>32</v>
      </c>
      <c r="D765" t="s">
        <v>16</v>
      </c>
      <c r="E765" t="s">
        <v>20</v>
      </c>
      <c r="F765" t="s">
        <v>15</v>
      </c>
      <c r="G765">
        <v>45347</v>
      </c>
      <c r="H765">
        <v>3</v>
      </c>
      <c r="I765">
        <v>15</v>
      </c>
      <c r="J765">
        <v>4</v>
      </c>
      <c r="K765">
        <v>10</v>
      </c>
      <c r="L765" s="1">
        <v>43550</v>
      </c>
      <c r="M765" s="1"/>
      <c r="N765" t="s">
        <v>49</v>
      </c>
    </row>
    <row r="766" spans="1:14" x14ac:dyDescent="0.25">
      <c r="A766">
        <v>1765</v>
      </c>
      <c r="B766">
        <v>60</v>
      </c>
      <c r="C766" t="s">
        <v>32</v>
      </c>
      <c r="D766" t="s">
        <v>27</v>
      </c>
      <c r="E766" t="s">
        <v>14</v>
      </c>
      <c r="F766" t="s">
        <v>29</v>
      </c>
      <c r="G766">
        <v>61178</v>
      </c>
      <c r="H766">
        <v>28</v>
      </c>
      <c r="I766">
        <v>36</v>
      </c>
      <c r="J766">
        <v>3</v>
      </c>
      <c r="K766">
        <v>3</v>
      </c>
      <c r="L766" s="1">
        <v>45449</v>
      </c>
      <c r="M766" s="1">
        <v>44109</v>
      </c>
      <c r="N766" t="s">
        <v>50</v>
      </c>
    </row>
    <row r="767" spans="1:14" x14ac:dyDescent="0.25">
      <c r="A767">
        <v>1766</v>
      </c>
      <c r="B767">
        <v>44</v>
      </c>
      <c r="C767" t="s">
        <v>32</v>
      </c>
      <c r="D767" t="s">
        <v>27</v>
      </c>
      <c r="E767" t="s">
        <v>25</v>
      </c>
      <c r="F767" t="s">
        <v>29</v>
      </c>
      <c r="G767">
        <v>79585</v>
      </c>
      <c r="H767">
        <v>0</v>
      </c>
      <c r="I767">
        <v>44</v>
      </c>
      <c r="J767">
        <v>5</v>
      </c>
      <c r="K767">
        <v>7</v>
      </c>
      <c r="L767" s="1">
        <v>45525</v>
      </c>
      <c r="M767" s="1"/>
      <c r="N767" t="s">
        <v>49</v>
      </c>
    </row>
    <row r="768" spans="1:14" x14ac:dyDescent="0.25">
      <c r="A768">
        <v>1767</v>
      </c>
      <c r="B768">
        <v>53</v>
      </c>
      <c r="C768" t="s">
        <v>31</v>
      </c>
      <c r="D768" t="s">
        <v>19</v>
      </c>
      <c r="E768" t="s">
        <v>12</v>
      </c>
      <c r="F768" t="s">
        <v>45</v>
      </c>
      <c r="G768">
        <v>81141</v>
      </c>
      <c r="H768">
        <v>16</v>
      </c>
      <c r="I768">
        <v>43</v>
      </c>
      <c r="J768">
        <v>3</v>
      </c>
      <c r="K768">
        <v>10</v>
      </c>
      <c r="L768" s="1">
        <v>45517</v>
      </c>
      <c r="M768" s="1">
        <v>44980</v>
      </c>
      <c r="N768" t="s">
        <v>50</v>
      </c>
    </row>
    <row r="769" spans="1:14" x14ac:dyDescent="0.25">
      <c r="A769">
        <v>1768</v>
      </c>
      <c r="B769">
        <v>41</v>
      </c>
      <c r="C769" t="s">
        <v>31</v>
      </c>
      <c r="D769" t="s">
        <v>16</v>
      </c>
      <c r="E769" t="s">
        <v>25</v>
      </c>
      <c r="F769" t="s">
        <v>21</v>
      </c>
      <c r="G769">
        <v>87686</v>
      </c>
      <c r="H769">
        <v>26</v>
      </c>
      <c r="I769">
        <v>3</v>
      </c>
      <c r="J769">
        <v>5</v>
      </c>
      <c r="K769">
        <v>6</v>
      </c>
      <c r="L769" s="1">
        <v>43857</v>
      </c>
      <c r="M769" s="1"/>
      <c r="N769" t="s">
        <v>49</v>
      </c>
    </row>
    <row r="770" spans="1:14" x14ac:dyDescent="0.25">
      <c r="A770">
        <v>1769</v>
      </c>
      <c r="B770">
        <v>57</v>
      </c>
      <c r="C770" t="s">
        <v>32</v>
      </c>
      <c r="D770" t="s">
        <v>19</v>
      </c>
      <c r="E770" t="s">
        <v>20</v>
      </c>
      <c r="F770" t="s">
        <v>29</v>
      </c>
      <c r="G770">
        <v>60366</v>
      </c>
      <c r="H770">
        <v>9</v>
      </c>
      <c r="I770">
        <v>45</v>
      </c>
      <c r="J770">
        <v>2</v>
      </c>
      <c r="K770">
        <v>10</v>
      </c>
      <c r="L770" s="1">
        <v>43164</v>
      </c>
      <c r="M770" s="1"/>
      <c r="N770" t="s">
        <v>49</v>
      </c>
    </row>
    <row r="771" spans="1:14" x14ac:dyDescent="0.25">
      <c r="A771">
        <v>1770</v>
      </c>
      <c r="B771">
        <v>54</v>
      </c>
      <c r="C771" t="s">
        <v>32</v>
      </c>
      <c r="D771" t="s">
        <v>22</v>
      </c>
      <c r="E771" t="s">
        <v>20</v>
      </c>
      <c r="F771" t="s">
        <v>21</v>
      </c>
      <c r="G771">
        <v>96910</v>
      </c>
      <c r="H771">
        <v>17</v>
      </c>
      <c r="I771">
        <v>53</v>
      </c>
      <c r="J771">
        <v>5</v>
      </c>
      <c r="K771">
        <v>7</v>
      </c>
      <c r="L771" s="1">
        <v>44575</v>
      </c>
      <c r="M771" s="1"/>
      <c r="N771" t="s">
        <v>49</v>
      </c>
    </row>
    <row r="772" spans="1:14" x14ac:dyDescent="0.25">
      <c r="A772">
        <v>1771</v>
      </c>
      <c r="B772">
        <v>27</v>
      </c>
      <c r="C772" t="s">
        <v>32</v>
      </c>
      <c r="D772" t="s">
        <v>19</v>
      </c>
      <c r="E772" t="s">
        <v>14</v>
      </c>
      <c r="F772" t="s">
        <v>26</v>
      </c>
      <c r="G772">
        <v>53267</v>
      </c>
      <c r="H772">
        <v>23</v>
      </c>
      <c r="I772">
        <v>10</v>
      </c>
      <c r="J772">
        <v>3</v>
      </c>
      <c r="K772">
        <v>6</v>
      </c>
      <c r="L772" s="1">
        <v>42419</v>
      </c>
      <c r="M772" s="1"/>
      <c r="N772" t="s">
        <v>49</v>
      </c>
    </row>
    <row r="773" spans="1:14" x14ac:dyDescent="0.25">
      <c r="A773">
        <v>1772</v>
      </c>
      <c r="B773">
        <v>60</v>
      </c>
      <c r="C773" t="s">
        <v>31</v>
      </c>
      <c r="D773" t="s">
        <v>13</v>
      </c>
      <c r="E773" t="s">
        <v>20</v>
      </c>
      <c r="F773" t="s">
        <v>17</v>
      </c>
      <c r="G773">
        <v>75391</v>
      </c>
      <c r="H773">
        <v>9</v>
      </c>
      <c r="I773">
        <v>55</v>
      </c>
      <c r="J773">
        <v>5</v>
      </c>
      <c r="K773">
        <v>8</v>
      </c>
      <c r="L773" s="1">
        <v>43785</v>
      </c>
      <c r="M773" s="1"/>
      <c r="N773" t="s">
        <v>49</v>
      </c>
    </row>
    <row r="774" spans="1:14" x14ac:dyDescent="0.25">
      <c r="A774">
        <v>1773</v>
      </c>
      <c r="B774">
        <v>22</v>
      </c>
      <c r="C774" t="s">
        <v>32</v>
      </c>
      <c r="D774" t="s">
        <v>27</v>
      </c>
      <c r="E774" t="s">
        <v>20</v>
      </c>
      <c r="F774" t="s">
        <v>26</v>
      </c>
      <c r="G774">
        <v>102207</v>
      </c>
      <c r="H774">
        <v>23</v>
      </c>
      <c r="I774">
        <v>6</v>
      </c>
      <c r="J774">
        <v>2</v>
      </c>
      <c r="K774">
        <v>1</v>
      </c>
      <c r="L774" s="1">
        <v>44365</v>
      </c>
      <c r="M774" s="1"/>
      <c r="N774" t="s">
        <v>49</v>
      </c>
    </row>
    <row r="775" spans="1:14" x14ac:dyDescent="0.25">
      <c r="A775">
        <v>1774</v>
      </c>
      <c r="B775">
        <v>44</v>
      </c>
      <c r="C775" t="s">
        <v>31</v>
      </c>
      <c r="D775" t="s">
        <v>27</v>
      </c>
      <c r="E775" t="s">
        <v>20</v>
      </c>
      <c r="F775" t="s">
        <v>21</v>
      </c>
      <c r="G775">
        <v>60071</v>
      </c>
      <c r="H775">
        <v>11</v>
      </c>
      <c r="I775">
        <v>29</v>
      </c>
      <c r="J775">
        <v>3</v>
      </c>
      <c r="K775">
        <v>4</v>
      </c>
      <c r="L775" s="1">
        <v>43656</v>
      </c>
      <c r="M775" s="1"/>
      <c r="N775" t="s">
        <v>49</v>
      </c>
    </row>
    <row r="776" spans="1:14" x14ac:dyDescent="0.25">
      <c r="A776">
        <v>1775</v>
      </c>
      <c r="B776">
        <v>45</v>
      </c>
      <c r="C776" t="s">
        <v>32</v>
      </c>
      <c r="D776" t="s">
        <v>13</v>
      </c>
      <c r="E776" t="s">
        <v>25</v>
      </c>
      <c r="F776" t="s">
        <v>26</v>
      </c>
      <c r="G776">
        <v>63305</v>
      </c>
      <c r="H776">
        <v>6</v>
      </c>
      <c r="I776">
        <v>12</v>
      </c>
      <c r="J776">
        <v>1</v>
      </c>
      <c r="K776">
        <v>5</v>
      </c>
      <c r="L776" s="1">
        <v>43969</v>
      </c>
      <c r="M776" s="1"/>
      <c r="N776" t="s">
        <v>49</v>
      </c>
    </row>
    <row r="777" spans="1:14" x14ac:dyDescent="0.25">
      <c r="A777">
        <v>1776</v>
      </c>
      <c r="B777">
        <v>57</v>
      </c>
      <c r="C777" t="s">
        <v>31</v>
      </c>
      <c r="D777" t="s">
        <v>23</v>
      </c>
      <c r="E777" t="s">
        <v>12</v>
      </c>
      <c r="F777" t="s">
        <v>29</v>
      </c>
      <c r="G777">
        <v>108402</v>
      </c>
      <c r="H777">
        <v>7</v>
      </c>
      <c r="I777">
        <v>18</v>
      </c>
      <c r="J777">
        <v>5</v>
      </c>
      <c r="K777">
        <v>1</v>
      </c>
      <c r="L777" s="1">
        <v>43780</v>
      </c>
      <c r="M777" s="1"/>
      <c r="N777" t="s">
        <v>49</v>
      </c>
    </row>
    <row r="778" spans="1:14" x14ac:dyDescent="0.25">
      <c r="A778">
        <v>1777</v>
      </c>
      <c r="B778">
        <v>58</v>
      </c>
      <c r="C778" t="s">
        <v>32</v>
      </c>
      <c r="D778" t="s">
        <v>19</v>
      </c>
      <c r="E778" t="s">
        <v>20</v>
      </c>
      <c r="F778" t="s">
        <v>15</v>
      </c>
      <c r="G778">
        <v>60645</v>
      </c>
      <c r="H778">
        <v>2</v>
      </c>
      <c r="I778">
        <v>30</v>
      </c>
      <c r="J778">
        <v>4</v>
      </c>
      <c r="K778">
        <v>9</v>
      </c>
      <c r="L778" s="1">
        <v>45036</v>
      </c>
      <c r="M778" s="1"/>
      <c r="N778" t="s">
        <v>49</v>
      </c>
    </row>
    <row r="779" spans="1:14" x14ac:dyDescent="0.25">
      <c r="A779">
        <v>1778</v>
      </c>
      <c r="B779">
        <v>57</v>
      </c>
      <c r="C779" t="s">
        <v>32</v>
      </c>
      <c r="D779" t="s">
        <v>16</v>
      </c>
      <c r="E779" t="s">
        <v>20</v>
      </c>
      <c r="F779" t="s">
        <v>26</v>
      </c>
      <c r="G779">
        <v>71033</v>
      </c>
      <c r="H779">
        <v>21</v>
      </c>
      <c r="I779">
        <v>13</v>
      </c>
      <c r="J779">
        <v>3</v>
      </c>
      <c r="K779">
        <v>3</v>
      </c>
      <c r="L779" s="1">
        <v>45304</v>
      </c>
      <c r="M779" s="1"/>
      <c r="N779" t="s">
        <v>49</v>
      </c>
    </row>
    <row r="780" spans="1:14" x14ac:dyDescent="0.25">
      <c r="A780">
        <v>1779</v>
      </c>
      <c r="B780">
        <v>23</v>
      </c>
      <c r="C780" t="s">
        <v>32</v>
      </c>
      <c r="D780" t="s">
        <v>27</v>
      </c>
      <c r="E780" t="s">
        <v>25</v>
      </c>
      <c r="F780" t="s">
        <v>45</v>
      </c>
      <c r="G780">
        <v>73039</v>
      </c>
      <c r="H780">
        <v>13</v>
      </c>
      <c r="I780">
        <v>23</v>
      </c>
      <c r="J780">
        <v>2</v>
      </c>
      <c r="K780">
        <v>10</v>
      </c>
      <c r="L780" s="1">
        <v>44466</v>
      </c>
      <c r="M780" s="1"/>
      <c r="N780" t="s">
        <v>49</v>
      </c>
    </row>
    <row r="781" spans="1:14" x14ac:dyDescent="0.25">
      <c r="A781">
        <v>1780</v>
      </c>
      <c r="B781">
        <v>44</v>
      </c>
      <c r="C781" t="s">
        <v>31</v>
      </c>
      <c r="D781" t="s">
        <v>22</v>
      </c>
      <c r="E781" t="s">
        <v>20</v>
      </c>
      <c r="F781" t="s">
        <v>17</v>
      </c>
      <c r="G781">
        <v>89109</v>
      </c>
      <c r="H781">
        <v>0</v>
      </c>
      <c r="I781">
        <v>47</v>
      </c>
      <c r="J781">
        <v>2</v>
      </c>
      <c r="K781">
        <v>5</v>
      </c>
      <c r="L781" s="1">
        <v>42694</v>
      </c>
      <c r="M781" s="1"/>
      <c r="N781" t="s">
        <v>49</v>
      </c>
    </row>
    <row r="782" spans="1:14" x14ac:dyDescent="0.25">
      <c r="A782">
        <v>1781</v>
      </c>
      <c r="B782">
        <v>35</v>
      </c>
      <c r="C782" t="s">
        <v>32</v>
      </c>
      <c r="D782" t="s">
        <v>22</v>
      </c>
      <c r="E782" t="s">
        <v>28</v>
      </c>
      <c r="F782" t="s">
        <v>45</v>
      </c>
      <c r="G782">
        <v>87072</v>
      </c>
      <c r="H782">
        <v>1</v>
      </c>
      <c r="I782">
        <v>12</v>
      </c>
      <c r="J782">
        <v>4</v>
      </c>
      <c r="K782">
        <v>5</v>
      </c>
      <c r="L782" s="1">
        <v>44337</v>
      </c>
      <c r="M782" s="1">
        <v>42463</v>
      </c>
      <c r="N782" t="s">
        <v>50</v>
      </c>
    </row>
    <row r="783" spans="1:14" x14ac:dyDescent="0.25">
      <c r="A783">
        <v>1782</v>
      </c>
      <c r="B783">
        <v>39</v>
      </c>
      <c r="C783" t="s">
        <v>32</v>
      </c>
      <c r="D783" t="s">
        <v>27</v>
      </c>
      <c r="E783" t="s">
        <v>14</v>
      </c>
      <c r="F783" t="s">
        <v>21</v>
      </c>
      <c r="G783">
        <v>72372</v>
      </c>
      <c r="H783">
        <v>13</v>
      </c>
      <c r="I783">
        <v>0</v>
      </c>
      <c r="K783">
        <v>7</v>
      </c>
      <c r="L783" s="1">
        <v>44965</v>
      </c>
      <c r="M783" s="1"/>
      <c r="N783" t="s">
        <v>49</v>
      </c>
    </row>
    <row r="784" spans="1:14" x14ac:dyDescent="0.25">
      <c r="A784">
        <v>1783</v>
      </c>
      <c r="B784">
        <v>52</v>
      </c>
      <c r="C784" t="s">
        <v>31</v>
      </c>
      <c r="D784" t="s">
        <v>19</v>
      </c>
      <c r="E784" t="s">
        <v>20</v>
      </c>
      <c r="F784" t="s">
        <v>29</v>
      </c>
      <c r="G784">
        <v>47646</v>
      </c>
      <c r="H784">
        <v>8</v>
      </c>
      <c r="I784">
        <v>42</v>
      </c>
      <c r="J784">
        <v>1</v>
      </c>
      <c r="K784">
        <v>1</v>
      </c>
      <c r="L784" s="1">
        <v>43928</v>
      </c>
      <c r="M784" s="1">
        <v>44418</v>
      </c>
      <c r="N784" t="s">
        <v>50</v>
      </c>
    </row>
    <row r="785" spans="1:14" x14ac:dyDescent="0.25">
      <c r="A785">
        <v>1784</v>
      </c>
      <c r="B785">
        <v>22</v>
      </c>
      <c r="C785" t="s">
        <v>31</v>
      </c>
      <c r="D785" t="s">
        <v>23</v>
      </c>
      <c r="E785" t="s">
        <v>25</v>
      </c>
      <c r="F785" t="s">
        <v>21</v>
      </c>
      <c r="G785">
        <v>50048</v>
      </c>
      <c r="H785">
        <v>25</v>
      </c>
      <c r="I785">
        <v>19</v>
      </c>
      <c r="J785">
        <v>1</v>
      </c>
      <c r="K785">
        <v>3</v>
      </c>
      <c r="L785" s="1">
        <v>44487</v>
      </c>
      <c r="M785" s="1"/>
      <c r="N785" t="s">
        <v>49</v>
      </c>
    </row>
    <row r="786" spans="1:14" x14ac:dyDescent="0.25">
      <c r="A786">
        <v>1785</v>
      </c>
      <c r="B786">
        <v>60</v>
      </c>
      <c r="C786" t="s">
        <v>32</v>
      </c>
      <c r="D786" t="s">
        <v>22</v>
      </c>
      <c r="E786" t="s">
        <v>28</v>
      </c>
      <c r="F786" t="s">
        <v>29</v>
      </c>
      <c r="G786">
        <v>76064</v>
      </c>
      <c r="H786">
        <v>15</v>
      </c>
      <c r="I786">
        <v>39</v>
      </c>
      <c r="J786">
        <v>2</v>
      </c>
      <c r="K786">
        <v>4</v>
      </c>
      <c r="L786" s="1">
        <v>43194</v>
      </c>
      <c r="M786" s="1">
        <v>44006</v>
      </c>
      <c r="N786" t="s">
        <v>50</v>
      </c>
    </row>
    <row r="787" spans="1:14" x14ac:dyDescent="0.25">
      <c r="A787">
        <v>1786</v>
      </c>
      <c r="B787">
        <v>23</v>
      </c>
      <c r="C787" t="s">
        <v>32</v>
      </c>
      <c r="D787" t="s">
        <v>27</v>
      </c>
      <c r="E787" t="s">
        <v>20</v>
      </c>
      <c r="F787" t="s">
        <v>15</v>
      </c>
      <c r="G787">
        <v>79764</v>
      </c>
      <c r="H787">
        <v>5</v>
      </c>
      <c r="I787">
        <v>54</v>
      </c>
      <c r="J787">
        <v>4</v>
      </c>
      <c r="K787">
        <v>1</v>
      </c>
      <c r="L787" s="1">
        <v>45053</v>
      </c>
      <c r="M787" s="1">
        <v>44832</v>
      </c>
      <c r="N787" t="s">
        <v>50</v>
      </c>
    </row>
    <row r="788" spans="1:14" x14ac:dyDescent="0.25">
      <c r="A788">
        <v>1787</v>
      </c>
      <c r="B788">
        <v>42</v>
      </c>
      <c r="C788" t="s">
        <v>31</v>
      </c>
      <c r="D788" t="s">
        <v>23</v>
      </c>
      <c r="E788" t="s">
        <v>14</v>
      </c>
      <c r="F788" t="s">
        <v>18</v>
      </c>
      <c r="G788">
        <v>101046</v>
      </c>
      <c r="H788">
        <v>7</v>
      </c>
      <c r="I788">
        <v>41</v>
      </c>
      <c r="J788">
        <v>5</v>
      </c>
      <c r="K788">
        <v>9</v>
      </c>
      <c r="L788" s="1">
        <v>43525</v>
      </c>
      <c r="M788" s="1"/>
      <c r="N788" t="s">
        <v>49</v>
      </c>
    </row>
    <row r="789" spans="1:14" x14ac:dyDescent="0.25">
      <c r="A789">
        <v>1788</v>
      </c>
      <c r="B789">
        <v>49</v>
      </c>
      <c r="C789" t="s">
        <v>31</v>
      </c>
      <c r="D789" t="s">
        <v>22</v>
      </c>
      <c r="E789" t="s">
        <v>12</v>
      </c>
      <c r="F789" t="s">
        <v>45</v>
      </c>
      <c r="G789">
        <v>107177</v>
      </c>
      <c r="H789">
        <v>30</v>
      </c>
      <c r="I789">
        <v>1</v>
      </c>
      <c r="J789">
        <v>2</v>
      </c>
      <c r="K789">
        <v>10</v>
      </c>
      <c r="L789" s="1">
        <v>44464</v>
      </c>
      <c r="M789" s="1"/>
      <c r="N789" t="s">
        <v>49</v>
      </c>
    </row>
    <row r="790" spans="1:14" x14ac:dyDescent="0.25">
      <c r="A790">
        <v>1789</v>
      </c>
      <c r="B790">
        <v>31</v>
      </c>
      <c r="C790" t="s">
        <v>31</v>
      </c>
      <c r="D790" t="s">
        <v>19</v>
      </c>
      <c r="E790" t="s">
        <v>20</v>
      </c>
      <c r="F790" t="s">
        <v>29</v>
      </c>
      <c r="G790">
        <v>101397</v>
      </c>
      <c r="H790">
        <v>12</v>
      </c>
      <c r="I790">
        <v>20</v>
      </c>
      <c r="J790">
        <v>1</v>
      </c>
      <c r="K790">
        <v>6</v>
      </c>
      <c r="L790" s="1">
        <v>43384</v>
      </c>
      <c r="M790" s="1"/>
      <c r="N790" t="s">
        <v>49</v>
      </c>
    </row>
    <row r="791" spans="1:14" x14ac:dyDescent="0.25">
      <c r="A791">
        <v>1790</v>
      </c>
      <c r="B791">
        <v>40</v>
      </c>
      <c r="C791" t="s">
        <v>31</v>
      </c>
      <c r="D791" t="s">
        <v>13</v>
      </c>
      <c r="E791" t="s">
        <v>12</v>
      </c>
      <c r="F791" t="s">
        <v>15</v>
      </c>
      <c r="G791">
        <v>102762</v>
      </c>
      <c r="H791">
        <v>18</v>
      </c>
      <c r="I791">
        <v>48</v>
      </c>
      <c r="J791">
        <v>5</v>
      </c>
      <c r="K791">
        <v>6</v>
      </c>
      <c r="L791" s="1">
        <v>43339</v>
      </c>
      <c r="M791" s="1"/>
      <c r="N791" t="s">
        <v>49</v>
      </c>
    </row>
    <row r="792" spans="1:14" x14ac:dyDescent="0.25">
      <c r="A792">
        <v>1791</v>
      </c>
      <c r="B792">
        <v>48</v>
      </c>
      <c r="C792" t="s">
        <v>32</v>
      </c>
      <c r="D792" t="s">
        <v>13</v>
      </c>
      <c r="E792" t="s">
        <v>14</v>
      </c>
      <c r="F792" t="s">
        <v>18</v>
      </c>
      <c r="G792">
        <v>47096</v>
      </c>
      <c r="H792">
        <v>20</v>
      </c>
      <c r="I792">
        <v>44</v>
      </c>
      <c r="J792">
        <v>1</v>
      </c>
      <c r="K792">
        <v>3</v>
      </c>
      <c r="L792" s="1">
        <v>42870</v>
      </c>
      <c r="M792" s="1"/>
      <c r="N792" t="s">
        <v>49</v>
      </c>
    </row>
    <row r="793" spans="1:14" x14ac:dyDescent="0.25">
      <c r="A793">
        <v>1792</v>
      </c>
      <c r="B793">
        <v>41</v>
      </c>
      <c r="C793" t="s">
        <v>32</v>
      </c>
      <c r="D793" t="s">
        <v>23</v>
      </c>
      <c r="E793" t="s">
        <v>14</v>
      </c>
      <c r="F793" t="s">
        <v>29</v>
      </c>
      <c r="G793">
        <v>77314</v>
      </c>
      <c r="H793">
        <v>2</v>
      </c>
      <c r="I793">
        <v>15</v>
      </c>
      <c r="J793">
        <v>3</v>
      </c>
      <c r="K793">
        <v>9</v>
      </c>
      <c r="L793" s="1">
        <v>45295</v>
      </c>
      <c r="M793" s="1">
        <v>42456</v>
      </c>
      <c r="N793" t="s">
        <v>50</v>
      </c>
    </row>
    <row r="794" spans="1:14" x14ac:dyDescent="0.25">
      <c r="A794">
        <v>1793</v>
      </c>
      <c r="B794">
        <v>41</v>
      </c>
      <c r="C794" t="s">
        <v>32</v>
      </c>
      <c r="D794" t="s">
        <v>23</v>
      </c>
      <c r="E794" t="s">
        <v>14</v>
      </c>
      <c r="F794" t="s">
        <v>18</v>
      </c>
      <c r="G794">
        <v>96164</v>
      </c>
      <c r="H794">
        <v>14</v>
      </c>
      <c r="I794">
        <v>43</v>
      </c>
      <c r="K794">
        <v>10</v>
      </c>
      <c r="L794" s="1">
        <v>43765</v>
      </c>
      <c r="M794" s="1"/>
      <c r="N794" t="s">
        <v>49</v>
      </c>
    </row>
    <row r="795" spans="1:14" x14ac:dyDescent="0.25">
      <c r="A795">
        <v>1794</v>
      </c>
      <c r="B795">
        <v>33</v>
      </c>
      <c r="C795" t="s">
        <v>31</v>
      </c>
      <c r="D795" t="s">
        <v>19</v>
      </c>
      <c r="E795" t="s">
        <v>20</v>
      </c>
      <c r="F795" t="s">
        <v>29</v>
      </c>
      <c r="G795">
        <v>73411</v>
      </c>
      <c r="H795">
        <v>22</v>
      </c>
      <c r="I795">
        <v>28</v>
      </c>
      <c r="J795">
        <v>2</v>
      </c>
      <c r="K795">
        <v>3</v>
      </c>
      <c r="L795" s="1">
        <v>43293</v>
      </c>
      <c r="M795" s="1"/>
      <c r="N795" t="s">
        <v>49</v>
      </c>
    </row>
    <row r="796" spans="1:14" x14ac:dyDescent="0.25">
      <c r="A796">
        <v>1795</v>
      </c>
      <c r="B796">
        <v>40</v>
      </c>
      <c r="C796" t="s">
        <v>31</v>
      </c>
      <c r="D796" t="s">
        <v>27</v>
      </c>
      <c r="E796" t="s">
        <v>25</v>
      </c>
      <c r="F796" t="s">
        <v>29</v>
      </c>
      <c r="G796">
        <v>65819</v>
      </c>
      <c r="H796">
        <v>22</v>
      </c>
      <c r="I796">
        <v>12</v>
      </c>
      <c r="J796">
        <v>3</v>
      </c>
      <c r="K796">
        <v>10</v>
      </c>
      <c r="L796" s="1">
        <v>44263</v>
      </c>
      <c r="M796" s="1"/>
      <c r="N796" t="s">
        <v>49</v>
      </c>
    </row>
    <row r="797" spans="1:14" x14ac:dyDescent="0.25">
      <c r="A797">
        <v>1796</v>
      </c>
      <c r="B797">
        <v>21</v>
      </c>
      <c r="C797" t="s">
        <v>32</v>
      </c>
      <c r="D797" t="s">
        <v>22</v>
      </c>
      <c r="E797" t="s">
        <v>25</v>
      </c>
      <c r="F797" t="s">
        <v>45</v>
      </c>
      <c r="G797">
        <v>69554</v>
      </c>
      <c r="H797">
        <v>30</v>
      </c>
      <c r="I797">
        <v>44</v>
      </c>
      <c r="J797">
        <v>5</v>
      </c>
      <c r="K797">
        <v>4</v>
      </c>
      <c r="L797" s="1">
        <v>44791</v>
      </c>
      <c r="M797" s="1"/>
      <c r="N797" t="s">
        <v>49</v>
      </c>
    </row>
    <row r="798" spans="1:14" x14ac:dyDescent="0.25">
      <c r="A798">
        <v>1797</v>
      </c>
      <c r="B798">
        <v>50</v>
      </c>
      <c r="C798" t="s">
        <v>32</v>
      </c>
      <c r="D798" t="s">
        <v>22</v>
      </c>
      <c r="E798" t="s">
        <v>28</v>
      </c>
      <c r="F798" t="s">
        <v>18</v>
      </c>
      <c r="G798">
        <v>88159</v>
      </c>
      <c r="H798">
        <v>27</v>
      </c>
      <c r="I798">
        <v>42</v>
      </c>
      <c r="J798">
        <v>1</v>
      </c>
      <c r="K798">
        <v>1</v>
      </c>
      <c r="L798" s="1">
        <v>43305</v>
      </c>
      <c r="M798" s="1">
        <v>44686</v>
      </c>
      <c r="N798" t="s">
        <v>50</v>
      </c>
    </row>
    <row r="799" spans="1:14" x14ac:dyDescent="0.25">
      <c r="A799">
        <v>1798</v>
      </c>
      <c r="B799">
        <v>23</v>
      </c>
      <c r="C799" t="s">
        <v>31</v>
      </c>
      <c r="D799" t="s">
        <v>19</v>
      </c>
      <c r="E799" t="s">
        <v>25</v>
      </c>
      <c r="F799" t="s">
        <v>45</v>
      </c>
      <c r="G799">
        <v>46744</v>
      </c>
      <c r="H799">
        <v>18</v>
      </c>
      <c r="I799">
        <v>25</v>
      </c>
      <c r="J799">
        <v>1</v>
      </c>
      <c r="K799">
        <v>1</v>
      </c>
      <c r="L799" s="1">
        <v>45481</v>
      </c>
      <c r="M799" s="1"/>
      <c r="N799" t="s">
        <v>49</v>
      </c>
    </row>
    <row r="800" spans="1:14" x14ac:dyDescent="0.25">
      <c r="A800">
        <v>1799</v>
      </c>
      <c r="B800">
        <v>34</v>
      </c>
      <c r="C800" t="s">
        <v>32</v>
      </c>
      <c r="D800" t="s">
        <v>23</v>
      </c>
      <c r="E800" t="s">
        <v>12</v>
      </c>
      <c r="F800" t="s">
        <v>26</v>
      </c>
      <c r="G800">
        <v>73451</v>
      </c>
      <c r="H800">
        <v>2</v>
      </c>
      <c r="I800">
        <v>14</v>
      </c>
      <c r="J800">
        <v>5</v>
      </c>
      <c r="K800">
        <v>6</v>
      </c>
      <c r="L800" s="1">
        <v>42071</v>
      </c>
      <c r="M800" s="1"/>
      <c r="N800" t="s">
        <v>49</v>
      </c>
    </row>
    <row r="801" spans="1:14" x14ac:dyDescent="0.25">
      <c r="A801">
        <v>1800</v>
      </c>
      <c r="B801">
        <v>54</v>
      </c>
      <c r="C801" t="s">
        <v>31</v>
      </c>
      <c r="D801" t="s">
        <v>22</v>
      </c>
      <c r="E801" t="s">
        <v>12</v>
      </c>
      <c r="F801" t="s">
        <v>45</v>
      </c>
      <c r="G801">
        <v>109392</v>
      </c>
      <c r="H801">
        <v>18</v>
      </c>
      <c r="I801">
        <v>48</v>
      </c>
      <c r="J801">
        <v>2</v>
      </c>
      <c r="K801">
        <v>10</v>
      </c>
      <c r="L801" s="1">
        <v>45644</v>
      </c>
      <c r="M801" s="1"/>
      <c r="N801" t="s">
        <v>49</v>
      </c>
    </row>
    <row r="802" spans="1:14" x14ac:dyDescent="0.25">
      <c r="A802">
        <v>1801</v>
      </c>
      <c r="B802">
        <v>60</v>
      </c>
      <c r="C802" t="s">
        <v>32</v>
      </c>
      <c r="D802" t="s">
        <v>13</v>
      </c>
      <c r="E802" t="s">
        <v>25</v>
      </c>
      <c r="F802" t="s">
        <v>18</v>
      </c>
      <c r="G802">
        <v>87898</v>
      </c>
      <c r="H802">
        <v>21</v>
      </c>
      <c r="I802">
        <v>15</v>
      </c>
      <c r="J802">
        <v>2</v>
      </c>
      <c r="K802">
        <v>7</v>
      </c>
      <c r="L802" s="1">
        <v>42738</v>
      </c>
      <c r="M802" s="1">
        <v>44417</v>
      </c>
      <c r="N802" t="s">
        <v>50</v>
      </c>
    </row>
    <row r="803" spans="1:14" x14ac:dyDescent="0.25">
      <c r="A803">
        <v>1802</v>
      </c>
      <c r="B803">
        <v>28</v>
      </c>
      <c r="C803" t="s">
        <v>32</v>
      </c>
      <c r="D803" t="s">
        <v>13</v>
      </c>
      <c r="E803" t="s">
        <v>20</v>
      </c>
      <c r="F803" t="s">
        <v>17</v>
      </c>
      <c r="G803">
        <v>77727</v>
      </c>
      <c r="H803">
        <v>7</v>
      </c>
      <c r="I803">
        <v>33</v>
      </c>
      <c r="J803">
        <v>3</v>
      </c>
      <c r="K803">
        <v>4</v>
      </c>
      <c r="L803" s="1">
        <v>44828</v>
      </c>
      <c r="M803" s="1">
        <v>44414</v>
      </c>
      <c r="N803" t="s">
        <v>50</v>
      </c>
    </row>
    <row r="804" spans="1:14" x14ac:dyDescent="0.25">
      <c r="A804">
        <v>1803</v>
      </c>
      <c r="B804">
        <v>21</v>
      </c>
      <c r="C804" t="s">
        <v>31</v>
      </c>
      <c r="D804" t="s">
        <v>27</v>
      </c>
      <c r="E804" t="s">
        <v>25</v>
      </c>
      <c r="F804" t="s">
        <v>21</v>
      </c>
      <c r="G804">
        <v>93659</v>
      </c>
      <c r="H804">
        <v>27</v>
      </c>
      <c r="I804">
        <v>54</v>
      </c>
      <c r="K804">
        <v>2</v>
      </c>
      <c r="L804" s="1">
        <v>43724</v>
      </c>
      <c r="M804" s="1"/>
      <c r="N804" t="s">
        <v>49</v>
      </c>
    </row>
    <row r="805" spans="1:14" x14ac:dyDescent="0.25">
      <c r="A805">
        <v>1804</v>
      </c>
      <c r="B805">
        <v>26</v>
      </c>
      <c r="C805" t="s">
        <v>31</v>
      </c>
      <c r="D805" t="s">
        <v>19</v>
      </c>
      <c r="E805" t="s">
        <v>25</v>
      </c>
      <c r="F805" t="s">
        <v>29</v>
      </c>
      <c r="G805">
        <v>73961</v>
      </c>
      <c r="H805">
        <v>17</v>
      </c>
      <c r="I805">
        <v>22</v>
      </c>
      <c r="J805">
        <v>2</v>
      </c>
      <c r="K805">
        <v>4</v>
      </c>
      <c r="L805" s="1">
        <v>43925</v>
      </c>
      <c r="M805" s="1"/>
      <c r="N805" t="s">
        <v>49</v>
      </c>
    </row>
    <row r="806" spans="1:14" x14ac:dyDescent="0.25">
      <c r="A806">
        <v>1805</v>
      </c>
      <c r="B806">
        <v>40</v>
      </c>
      <c r="C806" t="s">
        <v>32</v>
      </c>
      <c r="D806" t="s">
        <v>13</v>
      </c>
      <c r="E806" t="s">
        <v>25</v>
      </c>
      <c r="F806" t="s">
        <v>18</v>
      </c>
      <c r="G806">
        <v>70868</v>
      </c>
      <c r="H806">
        <v>1</v>
      </c>
      <c r="I806">
        <v>18</v>
      </c>
      <c r="J806">
        <v>5</v>
      </c>
      <c r="K806">
        <v>7</v>
      </c>
      <c r="L806" s="1">
        <v>44657</v>
      </c>
      <c r="M806" s="1"/>
      <c r="N806" t="s">
        <v>49</v>
      </c>
    </row>
    <row r="807" spans="1:14" x14ac:dyDescent="0.25">
      <c r="A807">
        <v>1806</v>
      </c>
      <c r="B807">
        <v>41</v>
      </c>
      <c r="C807" t="s">
        <v>31</v>
      </c>
      <c r="D807" t="s">
        <v>23</v>
      </c>
      <c r="E807" t="s">
        <v>28</v>
      </c>
      <c r="F807" t="s">
        <v>15</v>
      </c>
      <c r="G807">
        <v>48136</v>
      </c>
      <c r="H807">
        <v>26</v>
      </c>
      <c r="I807">
        <v>14</v>
      </c>
      <c r="J807">
        <v>3</v>
      </c>
      <c r="K807">
        <v>8</v>
      </c>
      <c r="L807" s="1">
        <v>45378</v>
      </c>
      <c r="M807" s="1">
        <v>44131</v>
      </c>
      <c r="N807" t="s">
        <v>50</v>
      </c>
    </row>
    <row r="808" spans="1:14" x14ac:dyDescent="0.25">
      <c r="A808">
        <v>1807</v>
      </c>
      <c r="B808">
        <v>47</v>
      </c>
      <c r="C808" t="s">
        <v>31</v>
      </c>
      <c r="D808" t="s">
        <v>27</v>
      </c>
      <c r="E808" t="s">
        <v>25</v>
      </c>
      <c r="F808" t="s">
        <v>15</v>
      </c>
      <c r="G808">
        <v>89311</v>
      </c>
      <c r="H808">
        <v>30</v>
      </c>
      <c r="I808">
        <v>24</v>
      </c>
      <c r="J808">
        <v>1</v>
      </c>
      <c r="K808">
        <v>9</v>
      </c>
      <c r="L808" s="1">
        <v>44102</v>
      </c>
      <c r="M808" s="1">
        <v>45256</v>
      </c>
      <c r="N808" t="s">
        <v>50</v>
      </c>
    </row>
    <row r="809" spans="1:14" x14ac:dyDescent="0.25">
      <c r="A809">
        <v>1808</v>
      </c>
      <c r="B809">
        <v>24</v>
      </c>
      <c r="C809" t="s">
        <v>32</v>
      </c>
      <c r="D809" t="s">
        <v>13</v>
      </c>
      <c r="E809" t="s">
        <v>28</v>
      </c>
      <c r="F809" t="s">
        <v>17</v>
      </c>
      <c r="G809">
        <v>91876</v>
      </c>
      <c r="H809">
        <v>20</v>
      </c>
      <c r="I809">
        <v>22</v>
      </c>
      <c r="J809">
        <v>3</v>
      </c>
      <c r="K809">
        <v>5</v>
      </c>
      <c r="L809" s="1">
        <v>44545</v>
      </c>
      <c r="M809" s="1">
        <v>44919</v>
      </c>
      <c r="N809" t="s">
        <v>50</v>
      </c>
    </row>
    <row r="810" spans="1:14" x14ac:dyDescent="0.25">
      <c r="A810">
        <v>1809</v>
      </c>
      <c r="B810">
        <v>31</v>
      </c>
      <c r="C810" t="s">
        <v>32</v>
      </c>
      <c r="D810" t="s">
        <v>19</v>
      </c>
      <c r="E810" t="s">
        <v>25</v>
      </c>
      <c r="F810" t="s">
        <v>15</v>
      </c>
      <c r="G810">
        <v>85297</v>
      </c>
      <c r="H810">
        <v>10</v>
      </c>
      <c r="I810">
        <v>6</v>
      </c>
      <c r="J810">
        <v>2</v>
      </c>
      <c r="K810">
        <v>2</v>
      </c>
      <c r="L810" s="1">
        <v>43778</v>
      </c>
      <c r="M810" s="1"/>
      <c r="N810" t="s">
        <v>49</v>
      </c>
    </row>
    <row r="811" spans="1:14" x14ac:dyDescent="0.25">
      <c r="A811">
        <v>1810</v>
      </c>
      <c r="B811">
        <v>41</v>
      </c>
      <c r="C811" t="s">
        <v>32</v>
      </c>
      <c r="D811" t="s">
        <v>22</v>
      </c>
      <c r="E811" t="s">
        <v>14</v>
      </c>
      <c r="F811" t="s">
        <v>15</v>
      </c>
      <c r="G811">
        <v>80745</v>
      </c>
      <c r="H811">
        <v>5</v>
      </c>
      <c r="I811">
        <v>57</v>
      </c>
      <c r="J811">
        <v>3</v>
      </c>
      <c r="K811">
        <v>3</v>
      </c>
      <c r="L811" s="1">
        <v>43064</v>
      </c>
      <c r="M811" s="1"/>
      <c r="N811" t="s">
        <v>49</v>
      </c>
    </row>
    <row r="812" spans="1:14" x14ac:dyDescent="0.25">
      <c r="A812">
        <v>1811</v>
      </c>
      <c r="B812">
        <v>53</v>
      </c>
      <c r="C812" t="s">
        <v>31</v>
      </c>
      <c r="D812" t="s">
        <v>23</v>
      </c>
      <c r="E812" t="s">
        <v>28</v>
      </c>
      <c r="F812" t="s">
        <v>15</v>
      </c>
      <c r="G812">
        <v>93857</v>
      </c>
      <c r="H812">
        <v>8</v>
      </c>
      <c r="I812">
        <v>38</v>
      </c>
      <c r="J812">
        <v>4</v>
      </c>
      <c r="K812">
        <v>5</v>
      </c>
      <c r="L812" s="1">
        <v>43300</v>
      </c>
      <c r="M812" s="1"/>
      <c r="N812" t="s">
        <v>49</v>
      </c>
    </row>
    <row r="813" spans="1:14" x14ac:dyDescent="0.25">
      <c r="A813">
        <v>1812</v>
      </c>
      <c r="B813">
        <v>27</v>
      </c>
      <c r="C813" t="s">
        <v>32</v>
      </c>
      <c r="D813" t="s">
        <v>23</v>
      </c>
      <c r="E813" t="s">
        <v>20</v>
      </c>
      <c r="F813" t="s">
        <v>17</v>
      </c>
      <c r="G813">
        <v>53976</v>
      </c>
      <c r="H813">
        <v>27</v>
      </c>
      <c r="I813">
        <v>36</v>
      </c>
      <c r="J813">
        <v>3</v>
      </c>
      <c r="K813">
        <v>5</v>
      </c>
      <c r="L813" s="1">
        <v>42627</v>
      </c>
      <c r="M813" s="1">
        <v>45508</v>
      </c>
      <c r="N813" t="s">
        <v>50</v>
      </c>
    </row>
    <row r="814" spans="1:14" x14ac:dyDescent="0.25">
      <c r="A814">
        <v>1813</v>
      </c>
      <c r="B814">
        <v>24</v>
      </c>
      <c r="C814" t="s">
        <v>32</v>
      </c>
      <c r="D814" t="s">
        <v>19</v>
      </c>
      <c r="E814" t="s">
        <v>20</v>
      </c>
      <c r="F814" t="s">
        <v>29</v>
      </c>
      <c r="G814">
        <v>75757</v>
      </c>
      <c r="H814">
        <v>28</v>
      </c>
      <c r="I814">
        <v>53</v>
      </c>
      <c r="J814">
        <v>3</v>
      </c>
      <c r="K814">
        <v>6</v>
      </c>
      <c r="L814" s="1">
        <v>45061</v>
      </c>
      <c r="M814" s="1">
        <v>43983</v>
      </c>
      <c r="N814" t="s">
        <v>50</v>
      </c>
    </row>
    <row r="815" spans="1:14" x14ac:dyDescent="0.25">
      <c r="A815">
        <v>1814</v>
      </c>
      <c r="B815">
        <v>47</v>
      </c>
      <c r="C815" t="s">
        <v>31</v>
      </c>
      <c r="D815" t="s">
        <v>27</v>
      </c>
      <c r="E815" t="s">
        <v>20</v>
      </c>
      <c r="F815" t="s">
        <v>26</v>
      </c>
      <c r="G815">
        <v>57643</v>
      </c>
      <c r="H815">
        <v>0</v>
      </c>
      <c r="I815">
        <v>16</v>
      </c>
      <c r="J815">
        <v>3</v>
      </c>
      <c r="K815">
        <v>10</v>
      </c>
      <c r="L815" s="1">
        <v>43600</v>
      </c>
      <c r="M815" s="1"/>
      <c r="N815" t="s">
        <v>49</v>
      </c>
    </row>
    <row r="816" spans="1:14" x14ac:dyDescent="0.25">
      <c r="A816">
        <v>1815</v>
      </c>
      <c r="B816">
        <v>27</v>
      </c>
      <c r="C816" t="s">
        <v>32</v>
      </c>
      <c r="D816" t="s">
        <v>23</v>
      </c>
      <c r="E816" t="s">
        <v>14</v>
      </c>
      <c r="F816" t="s">
        <v>15</v>
      </c>
      <c r="G816">
        <v>105610</v>
      </c>
      <c r="H816">
        <v>13</v>
      </c>
      <c r="I816">
        <v>43</v>
      </c>
      <c r="J816">
        <v>5</v>
      </c>
      <c r="K816">
        <v>6</v>
      </c>
      <c r="L816" s="1">
        <v>44610</v>
      </c>
      <c r="M816" s="1"/>
      <c r="N816" t="s">
        <v>49</v>
      </c>
    </row>
    <row r="817" spans="1:14" x14ac:dyDescent="0.25">
      <c r="A817">
        <v>1816</v>
      </c>
      <c r="B817">
        <v>27</v>
      </c>
      <c r="C817" t="s">
        <v>31</v>
      </c>
      <c r="D817" t="s">
        <v>27</v>
      </c>
      <c r="E817" t="s">
        <v>20</v>
      </c>
      <c r="F817" t="s">
        <v>21</v>
      </c>
      <c r="G817">
        <v>107579</v>
      </c>
      <c r="H817">
        <v>14</v>
      </c>
      <c r="I817">
        <v>50</v>
      </c>
      <c r="J817">
        <v>5</v>
      </c>
      <c r="K817">
        <v>4</v>
      </c>
      <c r="L817" s="1">
        <v>42294</v>
      </c>
      <c r="M817" s="1"/>
      <c r="N817" t="s">
        <v>49</v>
      </c>
    </row>
    <row r="818" spans="1:14" x14ac:dyDescent="0.25">
      <c r="A818">
        <v>1817</v>
      </c>
      <c r="B818">
        <v>46</v>
      </c>
      <c r="C818" t="s">
        <v>31</v>
      </c>
      <c r="D818" t="s">
        <v>23</v>
      </c>
      <c r="E818" t="s">
        <v>20</v>
      </c>
      <c r="F818" t="s">
        <v>17</v>
      </c>
      <c r="G818">
        <v>82049</v>
      </c>
      <c r="H818">
        <v>12</v>
      </c>
      <c r="I818">
        <v>0</v>
      </c>
      <c r="K818">
        <v>9</v>
      </c>
      <c r="L818" s="1">
        <v>42670</v>
      </c>
      <c r="M818" s="1">
        <v>44460</v>
      </c>
      <c r="N818" t="s">
        <v>50</v>
      </c>
    </row>
    <row r="819" spans="1:14" x14ac:dyDescent="0.25">
      <c r="A819">
        <v>1818</v>
      </c>
      <c r="B819">
        <v>41</v>
      </c>
      <c r="C819" t="s">
        <v>32</v>
      </c>
      <c r="D819" t="s">
        <v>19</v>
      </c>
      <c r="E819" t="s">
        <v>25</v>
      </c>
      <c r="F819" t="s">
        <v>21</v>
      </c>
      <c r="G819">
        <v>95678</v>
      </c>
      <c r="H819">
        <v>22</v>
      </c>
      <c r="I819">
        <v>54</v>
      </c>
      <c r="J819">
        <v>5</v>
      </c>
      <c r="K819">
        <v>5</v>
      </c>
      <c r="L819" s="1">
        <v>42233</v>
      </c>
      <c r="M819" s="1"/>
      <c r="N819" t="s">
        <v>49</v>
      </c>
    </row>
    <row r="820" spans="1:14" x14ac:dyDescent="0.25">
      <c r="A820">
        <v>1819</v>
      </c>
      <c r="B820">
        <v>57</v>
      </c>
      <c r="C820" t="s">
        <v>31</v>
      </c>
      <c r="D820" t="s">
        <v>27</v>
      </c>
      <c r="E820" t="s">
        <v>12</v>
      </c>
      <c r="F820" t="s">
        <v>29</v>
      </c>
      <c r="G820">
        <v>88180</v>
      </c>
      <c r="H820">
        <v>13</v>
      </c>
      <c r="I820">
        <v>53</v>
      </c>
      <c r="K820">
        <v>5</v>
      </c>
      <c r="L820" s="1">
        <v>43506</v>
      </c>
      <c r="M820" s="1">
        <v>43432</v>
      </c>
      <c r="N820" t="s">
        <v>50</v>
      </c>
    </row>
    <row r="821" spans="1:14" x14ac:dyDescent="0.25">
      <c r="A821">
        <v>1820</v>
      </c>
      <c r="B821">
        <v>28</v>
      </c>
      <c r="C821" t="s">
        <v>31</v>
      </c>
      <c r="D821" t="s">
        <v>22</v>
      </c>
      <c r="E821" t="s">
        <v>28</v>
      </c>
      <c r="F821" t="s">
        <v>21</v>
      </c>
      <c r="G821">
        <v>52075</v>
      </c>
      <c r="H821">
        <v>28</v>
      </c>
      <c r="I821">
        <v>16</v>
      </c>
      <c r="K821">
        <v>6</v>
      </c>
      <c r="L821" s="1">
        <v>43575</v>
      </c>
      <c r="M821" s="1"/>
      <c r="N821" t="s">
        <v>49</v>
      </c>
    </row>
    <row r="822" spans="1:14" x14ac:dyDescent="0.25">
      <c r="A822">
        <v>1821</v>
      </c>
      <c r="B822">
        <v>29</v>
      </c>
      <c r="C822" t="s">
        <v>31</v>
      </c>
      <c r="D822" t="s">
        <v>23</v>
      </c>
      <c r="E822" t="s">
        <v>12</v>
      </c>
      <c r="F822" t="s">
        <v>18</v>
      </c>
      <c r="G822">
        <v>96886</v>
      </c>
      <c r="H822">
        <v>25</v>
      </c>
      <c r="I822">
        <v>3</v>
      </c>
      <c r="K822">
        <v>9</v>
      </c>
      <c r="L822" s="1">
        <v>45268</v>
      </c>
      <c r="M822" s="1">
        <v>43560</v>
      </c>
      <c r="N822" t="s">
        <v>50</v>
      </c>
    </row>
    <row r="823" spans="1:14" x14ac:dyDescent="0.25">
      <c r="A823">
        <v>1822</v>
      </c>
      <c r="B823">
        <v>54</v>
      </c>
      <c r="C823" t="s">
        <v>31</v>
      </c>
      <c r="D823" t="s">
        <v>19</v>
      </c>
      <c r="E823" t="s">
        <v>14</v>
      </c>
      <c r="F823" t="s">
        <v>29</v>
      </c>
      <c r="G823">
        <v>67319</v>
      </c>
      <c r="H823">
        <v>18</v>
      </c>
      <c r="I823">
        <v>24</v>
      </c>
      <c r="J823">
        <v>1</v>
      </c>
      <c r="K823">
        <v>7</v>
      </c>
      <c r="L823" s="1">
        <v>44370</v>
      </c>
      <c r="M823" s="1"/>
      <c r="N823" t="s">
        <v>49</v>
      </c>
    </row>
    <row r="824" spans="1:14" x14ac:dyDescent="0.25">
      <c r="A824">
        <v>1823</v>
      </c>
      <c r="B824">
        <v>57</v>
      </c>
      <c r="C824" t="s">
        <v>32</v>
      </c>
      <c r="D824" t="s">
        <v>23</v>
      </c>
      <c r="E824" t="s">
        <v>25</v>
      </c>
      <c r="F824" t="s">
        <v>29</v>
      </c>
      <c r="G824">
        <v>109551</v>
      </c>
      <c r="H824">
        <v>5</v>
      </c>
      <c r="I824">
        <v>14</v>
      </c>
      <c r="J824">
        <v>5</v>
      </c>
      <c r="K824">
        <v>1</v>
      </c>
      <c r="L824" s="1">
        <v>43020</v>
      </c>
      <c r="M824" s="1">
        <v>42473</v>
      </c>
      <c r="N824" t="s">
        <v>50</v>
      </c>
    </row>
    <row r="825" spans="1:14" x14ac:dyDescent="0.25">
      <c r="A825">
        <v>1824</v>
      </c>
      <c r="B825">
        <v>53</v>
      </c>
      <c r="C825" t="s">
        <v>31</v>
      </c>
      <c r="D825" t="s">
        <v>13</v>
      </c>
      <c r="E825" t="s">
        <v>25</v>
      </c>
      <c r="F825" t="s">
        <v>15</v>
      </c>
      <c r="G825">
        <v>103385</v>
      </c>
      <c r="H825">
        <v>4</v>
      </c>
      <c r="I825">
        <v>8</v>
      </c>
      <c r="J825">
        <v>2</v>
      </c>
      <c r="K825">
        <v>8</v>
      </c>
      <c r="L825" s="1">
        <v>45012</v>
      </c>
      <c r="M825" s="1"/>
      <c r="N825" t="s">
        <v>49</v>
      </c>
    </row>
    <row r="826" spans="1:14" x14ac:dyDescent="0.25">
      <c r="A826">
        <v>1825</v>
      </c>
      <c r="B826">
        <v>56</v>
      </c>
      <c r="C826" t="s">
        <v>31</v>
      </c>
      <c r="D826" t="s">
        <v>13</v>
      </c>
      <c r="E826" t="s">
        <v>28</v>
      </c>
      <c r="F826" t="s">
        <v>29</v>
      </c>
      <c r="G826">
        <v>47940</v>
      </c>
      <c r="H826">
        <v>23</v>
      </c>
      <c r="I826">
        <v>20</v>
      </c>
      <c r="J826">
        <v>2</v>
      </c>
      <c r="K826">
        <v>5</v>
      </c>
      <c r="L826" s="1">
        <v>43993</v>
      </c>
      <c r="M826" s="1"/>
      <c r="N826" t="s">
        <v>49</v>
      </c>
    </row>
    <row r="827" spans="1:14" x14ac:dyDescent="0.25">
      <c r="A827">
        <v>1826</v>
      </c>
      <c r="B827">
        <v>41</v>
      </c>
      <c r="C827" t="s">
        <v>31</v>
      </c>
      <c r="D827" t="s">
        <v>23</v>
      </c>
      <c r="E827" t="s">
        <v>25</v>
      </c>
      <c r="F827" t="s">
        <v>29</v>
      </c>
      <c r="G827">
        <v>95418</v>
      </c>
      <c r="H827">
        <v>19</v>
      </c>
      <c r="I827">
        <v>45</v>
      </c>
      <c r="K827">
        <v>1</v>
      </c>
      <c r="L827" s="1">
        <v>44831</v>
      </c>
      <c r="M827" s="1">
        <v>45133</v>
      </c>
      <c r="N827" t="s">
        <v>50</v>
      </c>
    </row>
    <row r="828" spans="1:14" x14ac:dyDescent="0.25">
      <c r="A828">
        <v>1827</v>
      </c>
      <c r="B828">
        <v>40</v>
      </c>
      <c r="C828" t="s">
        <v>31</v>
      </c>
      <c r="D828" t="s">
        <v>27</v>
      </c>
      <c r="E828" t="s">
        <v>20</v>
      </c>
      <c r="F828" t="s">
        <v>29</v>
      </c>
      <c r="G828">
        <v>54245</v>
      </c>
      <c r="H828">
        <v>10</v>
      </c>
      <c r="I828">
        <v>27</v>
      </c>
      <c r="J828">
        <v>1</v>
      </c>
      <c r="K828">
        <v>8</v>
      </c>
      <c r="L828" s="1">
        <v>44556</v>
      </c>
      <c r="M828" s="1"/>
      <c r="N828" t="s">
        <v>49</v>
      </c>
    </row>
    <row r="829" spans="1:14" x14ac:dyDescent="0.25">
      <c r="A829">
        <v>1828</v>
      </c>
      <c r="B829">
        <v>31</v>
      </c>
      <c r="C829" t="s">
        <v>31</v>
      </c>
      <c r="D829" t="s">
        <v>27</v>
      </c>
      <c r="E829" t="s">
        <v>14</v>
      </c>
      <c r="F829" t="s">
        <v>21</v>
      </c>
      <c r="G829">
        <v>82874</v>
      </c>
      <c r="H829">
        <v>11</v>
      </c>
      <c r="I829">
        <v>12</v>
      </c>
      <c r="K829">
        <v>5</v>
      </c>
      <c r="L829" s="1">
        <v>43475</v>
      </c>
      <c r="M829" s="1"/>
      <c r="N829" t="s">
        <v>49</v>
      </c>
    </row>
    <row r="830" spans="1:14" x14ac:dyDescent="0.25">
      <c r="A830">
        <v>1829</v>
      </c>
      <c r="B830">
        <v>23</v>
      </c>
      <c r="C830" t="s">
        <v>31</v>
      </c>
      <c r="D830" t="s">
        <v>23</v>
      </c>
      <c r="E830" t="s">
        <v>25</v>
      </c>
      <c r="F830" t="s">
        <v>26</v>
      </c>
      <c r="G830">
        <v>100762</v>
      </c>
      <c r="H830">
        <v>27</v>
      </c>
      <c r="I830">
        <v>7</v>
      </c>
      <c r="J830">
        <v>2</v>
      </c>
      <c r="K830">
        <v>1</v>
      </c>
      <c r="L830" s="1">
        <v>44484</v>
      </c>
      <c r="M830" s="1"/>
      <c r="N830" t="s">
        <v>49</v>
      </c>
    </row>
    <row r="831" spans="1:14" x14ac:dyDescent="0.25">
      <c r="A831">
        <v>1830</v>
      </c>
      <c r="B831">
        <v>33</v>
      </c>
      <c r="C831" t="s">
        <v>31</v>
      </c>
      <c r="D831" t="s">
        <v>23</v>
      </c>
      <c r="E831" t="s">
        <v>25</v>
      </c>
      <c r="F831" t="s">
        <v>21</v>
      </c>
      <c r="G831">
        <v>47179</v>
      </c>
      <c r="H831">
        <v>16</v>
      </c>
      <c r="I831">
        <v>47</v>
      </c>
      <c r="K831">
        <v>10</v>
      </c>
      <c r="L831" s="1">
        <v>44049</v>
      </c>
      <c r="M831" s="1"/>
      <c r="N831" t="s">
        <v>49</v>
      </c>
    </row>
    <row r="832" spans="1:14" x14ac:dyDescent="0.25">
      <c r="A832">
        <v>1831</v>
      </c>
      <c r="B832">
        <v>37</v>
      </c>
      <c r="C832" t="s">
        <v>32</v>
      </c>
      <c r="D832" t="s">
        <v>22</v>
      </c>
      <c r="E832" t="s">
        <v>25</v>
      </c>
      <c r="F832" t="s">
        <v>45</v>
      </c>
      <c r="G832">
        <v>48264</v>
      </c>
      <c r="H832">
        <v>16</v>
      </c>
      <c r="I832">
        <v>17</v>
      </c>
      <c r="J832">
        <v>3</v>
      </c>
      <c r="K832">
        <v>4</v>
      </c>
      <c r="L832" s="1">
        <v>42720</v>
      </c>
      <c r="M832" s="1"/>
      <c r="N832" t="s">
        <v>49</v>
      </c>
    </row>
    <row r="833" spans="1:14" x14ac:dyDescent="0.25">
      <c r="A833">
        <v>1832</v>
      </c>
      <c r="B833">
        <v>59</v>
      </c>
      <c r="C833" t="s">
        <v>31</v>
      </c>
      <c r="D833" t="s">
        <v>23</v>
      </c>
      <c r="E833" t="s">
        <v>20</v>
      </c>
      <c r="F833" t="s">
        <v>45</v>
      </c>
      <c r="G833">
        <v>47506</v>
      </c>
      <c r="H833">
        <v>3</v>
      </c>
      <c r="I833">
        <v>38</v>
      </c>
      <c r="J833">
        <v>5</v>
      </c>
      <c r="K833">
        <v>7</v>
      </c>
      <c r="L833" s="1">
        <v>43577</v>
      </c>
      <c r="M833" s="1"/>
      <c r="N833" t="s">
        <v>49</v>
      </c>
    </row>
    <row r="834" spans="1:14" x14ac:dyDescent="0.25">
      <c r="A834">
        <v>1833</v>
      </c>
      <c r="B834">
        <v>21</v>
      </c>
      <c r="C834" t="s">
        <v>32</v>
      </c>
      <c r="D834" t="s">
        <v>13</v>
      </c>
      <c r="E834" t="s">
        <v>28</v>
      </c>
      <c r="F834" t="s">
        <v>29</v>
      </c>
      <c r="G834">
        <v>47673</v>
      </c>
      <c r="H834">
        <v>19</v>
      </c>
      <c r="I834">
        <v>3</v>
      </c>
      <c r="J834">
        <v>4</v>
      </c>
      <c r="K834">
        <v>1</v>
      </c>
      <c r="L834" s="1">
        <v>45225</v>
      </c>
      <c r="M834" s="1">
        <v>43834</v>
      </c>
      <c r="N834" t="s">
        <v>50</v>
      </c>
    </row>
    <row r="835" spans="1:14" x14ac:dyDescent="0.25">
      <c r="A835">
        <v>1834</v>
      </c>
      <c r="B835">
        <v>54</v>
      </c>
      <c r="C835" t="s">
        <v>31</v>
      </c>
      <c r="D835" t="s">
        <v>23</v>
      </c>
      <c r="E835" t="s">
        <v>25</v>
      </c>
      <c r="F835" t="s">
        <v>15</v>
      </c>
      <c r="G835">
        <v>93785</v>
      </c>
      <c r="H835">
        <v>6</v>
      </c>
      <c r="I835">
        <v>5</v>
      </c>
      <c r="J835">
        <v>1</v>
      </c>
      <c r="K835">
        <v>10</v>
      </c>
      <c r="L835" s="1">
        <v>42083</v>
      </c>
      <c r="M835" s="1"/>
      <c r="N835" t="s">
        <v>49</v>
      </c>
    </row>
    <row r="836" spans="1:14" x14ac:dyDescent="0.25">
      <c r="A836">
        <v>1835</v>
      </c>
      <c r="B836">
        <v>39</v>
      </c>
      <c r="C836" t="s">
        <v>32</v>
      </c>
      <c r="D836" t="s">
        <v>23</v>
      </c>
      <c r="E836" t="s">
        <v>14</v>
      </c>
      <c r="F836" t="s">
        <v>21</v>
      </c>
      <c r="G836">
        <v>73904</v>
      </c>
      <c r="H836">
        <v>30</v>
      </c>
      <c r="I836">
        <v>44</v>
      </c>
      <c r="J836">
        <v>1</v>
      </c>
      <c r="K836">
        <v>6</v>
      </c>
      <c r="L836" s="1">
        <v>43236</v>
      </c>
      <c r="M836" s="1"/>
      <c r="N836" t="s">
        <v>49</v>
      </c>
    </row>
    <row r="837" spans="1:14" x14ac:dyDescent="0.25">
      <c r="A837">
        <v>1836</v>
      </c>
      <c r="B837">
        <v>26</v>
      </c>
      <c r="C837" t="s">
        <v>31</v>
      </c>
      <c r="D837" t="s">
        <v>16</v>
      </c>
      <c r="E837" t="s">
        <v>14</v>
      </c>
      <c r="F837" t="s">
        <v>45</v>
      </c>
      <c r="G837">
        <v>109736</v>
      </c>
      <c r="H837">
        <v>21</v>
      </c>
      <c r="I837">
        <v>45</v>
      </c>
      <c r="J837">
        <v>3</v>
      </c>
      <c r="K837">
        <v>9</v>
      </c>
      <c r="L837" s="1">
        <v>44317</v>
      </c>
      <c r="M837" s="1"/>
      <c r="N837" t="s">
        <v>49</v>
      </c>
    </row>
    <row r="838" spans="1:14" x14ac:dyDescent="0.25">
      <c r="A838">
        <v>1837</v>
      </c>
      <c r="B838">
        <v>49</v>
      </c>
      <c r="C838" t="s">
        <v>31</v>
      </c>
      <c r="D838" t="s">
        <v>19</v>
      </c>
      <c r="E838" t="s">
        <v>20</v>
      </c>
      <c r="F838" t="s">
        <v>18</v>
      </c>
      <c r="G838">
        <v>91723</v>
      </c>
      <c r="H838">
        <v>29</v>
      </c>
      <c r="I838">
        <v>37</v>
      </c>
      <c r="J838">
        <v>5</v>
      </c>
      <c r="K838">
        <v>4</v>
      </c>
      <c r="L838" s="1">
        <v>43209</v>
      </c>
      <c r="M838" s="1">
        <v>42921</v>
      </c>
      <c r="N838" t="s">
        <v>50</v>
      </c>
    </row>
    <row r="839" spans="1:14" x14ac:dyDescent="0.25">
      <c r="A839">
        <v>1838</v>
      </c>
      <c r="B839">
        <v>40</v>
      </c>
      <c r="C839" t="s">
        <v>32</v>
      </c>
      <c r="D839" t="s">
        <v>13</v>
      </c>
      <c r="E839" t="s">
        <v>20</v>
      </c>
      <c r="F839" t="s">
        <v>45</v>
      </c>
      <c r="G839">
        <v>90311</v>
      </c>
      <c r="H839">
        <v>15</v>
      </c>
      <c r="I839">
        <v>59</v>
      </c>
      <c r="J839">
        <v>1</v>
      </c>
      <c r="K839">
        <v>8</v>
      </c>
      <c r="L839" s="1">
        <v>43749</v>
      </c>
      <c r="M839" s="1"/>
      <c r="N839" t="s">
        <v>49</v>
      </c>
    </row>
    <row r="840" spans="1:14" x14ac:dyDescent="0.25">
      <c r="A840">
        <v>1839</v>
      </c>
      <c r="B840">
        <v>48</v>
      </c>
      <c r="C840" t="s">
        <v>31</v>
      </c>
      <c r="D840" t="s">
        <v>23</v>
      </c>
      <c r="E840" t="s">
        <v>28</v>
      </c>
      <c r="F840" t="s">
        <v>17</v>
      </c>
      <c r="G840">
        <v>49412</v>
      </c>
      <c r="H840">
        <v>18</v>
      </c>
      <c r="I840">
        <v>18</v>
      </c>
      <c r="K840">
        <v>8</v>
      </c>
      <c r="L840" s="1">
        <v>43299</v>
      </c>
      <c r="M840" s="1"/>
      <c r="N840" t="s">
        <v>49</v>
      </c>
    </row>
    <row r="841" spans="1:14" x14ac:dyDescent="0.25">
      <c r="A841">
        <v>1840</v>
      </c>
      <c r="B841">
        <v>59</v>
      </c>
      <c r="C841" t="s">
        <v>31</v>
      </c>
      <c r="D841" t="s">
        <v>19</v>
      </c>
      <c r="E841" t="s">
        <v>20</v>
      </c>
      <c r="F841" t="s">
        <v>45</v>
      </c>
      <c r="G841">
        <v>83891</v>
      </c>
      <c r="H841">
        <v>12</v>
      </c>
      <c r="I841">
        <v>24</v>
      </c>
      <c r="J841">
        <v>3</v>
      </c>
      <c r="K841">
        <v>1</v>
      </c>
      <c r="L841" s="1">
        <v>42812</v>
      </c>
      <c r="M841" s="1"/>
      <c r="N841" t="s">
        <v>49</v>
      </c>
    </row>
    <row r="842" spans="1:14" x14ac:dyDescent="0.25">
      <c r="A842">
        <v>1841</v>
      </c>
      <c r="B842">
        <v>25</v>
      </c>
      <c r="C842" t="s">
        <v>32</v>
      </c>
      <c r="D842" t="s">
        <v>27</v>
      </c>
      <c r="E842" t="s">
        <v>14</v>
      </c>
      <c r="F842" t="s">
        <v>29</v>
      </c>
      <c r="G842">
        <v>56332</v>
      </c>
      <c r="H842">
        <v>5</v>
      </c>
      <c r="I842">
        <v>9</v>
      </c>
      <c r="J842">
        <v>3</v>
      </c>
      <c r="K842">
        <v>2</v>
      </c>
      <c r="L842" s="1">
        <v>44089</v>
      </c>
      <c r="M842" s="1"/>
      <c r="N842" t="s">
        <v>49</v>
      </c>
    </row>
    <row r="843" spans="1:14" x14ac:dyDescent="0.25">
      <c r="A843">
        <v>1842</v>
      </c>
      <c r="B843">
        <v>40</v>
      </c>
      <c r="C843" t="s">
        <v>32</v>
      </c>
      <c r="D843" t="s">
        <v>16</v>
      </c>
      <c r="E843" t="s">
        <v>25</v>
      </c>
      <c r="F843" t="s">
        <v>26</v>
      </c>
      <c r="G843">
        <v>87698</v>
      </c>
      <c r="H843">
        <v>9</v>
      </c>
      <c r="I843">
        <v>24</v>
      </c>
      <c r="J843">
        <v>1</v>
      </c>
      <c r="K843">
        <v>6</v>
      </c>
      <c r="L843" s="1">
        <v>43771</v>
      </c>
      <c r="M843" s="1"/>
      <c r="N843" t="s">
        <v>49</v>
      </c>
    </row>
    <row r="844" spans="1:14" x14ac:dyDescent="0.25">
      <c r="A844">
        <v>1843</v>
      </c>
      <c r="B844">
        <v>53</v>
      </c>
      <c r="C844" t="s">
        <v>32</v>
      </c>
      <c r="D844" t="s">
        <v>13</v>
      </c>
      <c r="E844" t="s">
        <v>12</v>
      </c>
      <c r="F844" t="s">
        <v>17</v>
      </c>
      <c r="G844">
        <v>81303</v>
      </c>
      <c r="H844">
        <v>1</v>
      </c>
      <c r="I844">
        <v>31</v>
      </c>
      <c r="J844">
        <v>4</v>
      </c>
      <c r="K844">
        <v>3</v>
      </c>
      <c r="L844" s="1">
        <v>44735</v>
      </c>
      <c r="M844" s="1">
        <v>45243</v>
      </c>
      <c r="N844" t="s">
        <v>50</v>
      </c>
    </row>
    <row r="845" spans="1:14" x14ac:dyDescent="0.25">
      <c r="A845">
        <v>1844</v>
      </c>
      <c r="B845">
        <v>33</v>
      </c>
      <c r="C845" t="s">
        <v>32</v>
      </c>
      <c r="D845" t="s">
        <v>19</v>
      </c>
      <c r="E845" t="s">
        <v>12</v>
      </c>
      <c r="F845" t="s">
        <v>45</v>
      </c>
      <c r="G845">
        <v>83368</v>
      </c>
      <c r="H845">
        <v>28</v>
      </c>
      <c r="I845">
        <v>19</v>
      </c>
      <c r="J845">
        <v>2</v>
      </c>
      <c r="K845">
        <v>7</v>
      </c>
      <c r="L845" s="1">
        <v>43600</v>
      </c>
      <c r="M845" s="1"/>
      <c r="N845" t="s">
        <v>49</v>
      </c>
    </row>
    <row r="846" spans="1:14" x14ac:dyDescent="0.25">
      <c r="A846">
        <v>1845</v>
      </c>
      <c r="B846">
        <v>41</v>
      </c>
      <c r="C846" t="s">
        <v>32</v>
      </c>
      <c r="D846" t="s">
        <v>23</v>
      </c>
      <c r="E846" t="s">
        <v>20</v>
      </c>
      <c r="F846" t="s">
        <v>26</v>
      </c>
      <c r="G846">
        <v>106399</v>
      </c>
      <c r="H846">
        <v>10</v>
      </c>
      <c r="I846">
        <v>10</v>
      </c>
      <c r="J846">
        <v>5</v>
      </c>
      <c r="K846">
        <v>5</v>
      </c>
      <c r="L846" s="1">
        <v>44127</v>
      </c>
      <c r="M846" s="1"/>
      <c r="N846" t="s">
        <v>49</v>
      </c>
    </row>
    <row r="847" spans="1:14" x14ac:dyDescent="0.25">
      <c r="A847">
        <v>1846</v>
      </c>
      <c r="B847">
        <v>33</v>
      </c>
      <c r="C847" t="s">
        <v>32</v>
      </c>
      <c r="D847" t="s">
        <v>13</v>
      </c>
      <c r="E847" t="s">
        <v>20</v>
      </c>
      <c r="F847" t="s">
        <v>45</v>
      </c>
      <c r="G847">
        <v>91416</v>
      </c>
      <c r="H847">
        <v>6</v>
      </c>
      <c r="I847">
        <v>31</v>
      </c>
      <c r="J847">
        <v>3</v>
      </c>
      <c r="K847">
        <v>5</v>
      </c>
      <c r="L847" s="1">
        <v>42208</v>
      </c>
      <c r="M847" s="1"/>
      <c r="N847" t="s">
        <v>49</v>
      </c>
    </row>
    <row r="848" spans="1:14" x14ac:dyDescent="0.25">
      <c r="A848">
        <v>1847</v>
      </c>
      <c r="B848">
        <v>59</v>
      </c>
      <c r="C848" t="s">
        <v>32</v>
      </c>
      <c r="D848" t="s">
        <v>19</v>
      </c>
      <c r="E848" t="s">
        <v>12</v>
      </c>
      <c r="F848" t="s">
        <v>21</v>
      </c>
      <c r="G848">
        <v>63818</v>
      </c>
      <c r="H848">
        <v>24</v>
      </c>
      <c r="I848">
        <v>6</v>
      </c>
      <c r="K848">
        <v>5</v>
      </c>
      <c r="L848" s="1">
        <v>44963</v>
      </c>
      <c r="M848" s="1">
        <v>42528</v>
      </c>
      <c r="N848" t="s">
        <v>50</v>
      </c>
    </row>
    <row r="849" spans="1:14" x14ac:dyDescent="0.25">
      <c r="A849">
        <v>1848</v>
      </c>
      <c r="B849">
        <v>54</v>
      </c>
      <c r="C849" t="s">
        <v>31</v>
      </c>
      <c r="D849" t="s">
        <v>23</v>
      </c>
      <c r="E849" t="s">
        <v>20</v>
      </c>
      <c r="F849" t="s">
        <v>15</v>
      </c>
      <c r="G849">
        <v>56688</v>
      </c>
      <c r="H849">
        <v>18</v>
      </c>
      <c r="I849">
        <v>24</v>
      </c>
      <c r="K849">
        <v>7</v>
      </c>
      <c r="L849" s="1">
        <v>45292</v>
      </c>
      <c r="M849" s="1">
        <v>43760</v>
      </c>
      <c r="N849" t="s">
        <v>50</v>
      </c>
    </row>
    <row r="850" spans="1:14" x14ac:dyDescent="0.25">
      <c r="A850">
        <v>1849</v>
      </c>
      <c r="B850">
        <v>26</v>
      </c>
      <c r="C850" t="s">
        <v>31</v>
      </c>
      <c r="D850" t="s">
        <v>22</v>
      </c>
      <c r="E850" t="s">
        <v>12</v>
      </c>
      <c r="F850" t="s">
        <v>17</v>
      </c>
      <c r="G850">
        <v>109947</v>
      </c>
      <c r="H850">
        <v>20</v>
      </c>
      <c r="I850">
        <v>42</v>
      </c>
      <c r="J850">
        <v>2</v>
      </c>
      <c r="K850">
        <v>9</v>
      </c>
      <c r="L850" s="1">
        <v>44061</v>
      </c>
      <c r="M850" s="1">
        <v>42826</v>
      </c>
      <c r="N850" t="s">
        <v>50</v>
      </c>
    </row>
    <row r="851" spans="1:14" x14ac:dyDescent="0.25">
      <c r="A851">
        <v>1850</v>
      </c>
      <c r="B851">
        <v>33</v>
      </c>
      <c r="C851" t="s">
        <v>32</v>
      </c>
      <c r="D851" t="s">
        <v>19</v>
      </c>
      <c r="E851" t="s">
        <v>20</v>
      </c>
      <c r="F851" t="s">
        <v>26</v>
      </c>
      <c r="G851">
        <v>53126</v>
      </c>
      <c r="H851">
        <v>16</v>
      </c>
      <c r="I851">
        <v>13</v>
      </c>
      <c r="K851">
        <v>5</v>
      </c>
      <c r="L851" s="1">
        <v>45298</v>
      </c>
      <c r="M851" s="1"/>
      <c r="N851" t="s">
        <v>49</v>
      </c>
    </row>
    <row r="852" spans="1:14" x14ac:dyDescent="0.25">
      <c r="A852">
        <v>1851</v>
      </c>
      <c r="B852">
        <v>28</v>
      </c>
      <c r="C852" t="s">
        <v>31</v>
      </c>
      <c r="D852" t="s">
        <v>27</v>
      </c>
      <c r="E852" t="s">
        <v>20</v>
      </c>
      <c r="F852" t="s">
        <v>26</v>
      </c>
      <c r="G852">
        <v>50836</v>
      </c>
      <c r="H852">
        <v>26</v>
      </c>
      <c r="I852">
        <v>29</v>
      </c>
      <c r="K852">
        <v>1</v>
      </c>
      <c r="L852" s="1">
        <v>44272</v>
      </c>
      <c r="M852" s="1"/>
      <c r="N852" t="s">
        <v>49</v>
      </c>
    </row>
    <row r="853" spans="1:14" x14ac:dyDescent="0.25">
      <c r="A853">
        <v>1852</v>
      </c>
      <c r="B853">
        <v>34</v>
      </c>
      <c r="C853" t="s">
        <v>31</v>
      </c>
      <c r="D853" t="s">
        <v>22</v>
      </c>
      <c r="E853" t="s">
        <v>12</v>
      </c>
      <c r="F853" t="s">
        <v>29</v>
      </c>
      <c r="G853">
        <v>105293</v>
      </c>
      <c r="H853">
        <v>1</v>
      </c>
      <c r="I853">
        <v>8</v>
      </c>
      <c r="J853">
        <v>1</v>
      </c>
      <c r="K853">
        <v>8</v>
      </c>
      <c r="L853" s="1">
        <v>43971</v>
      </c>
      <c r="M853" s="1">
        <v>43884</v>
      </c>
      <c r="N853" t="s">
        <v>50</v>
      </c>
    </row>
    <row r="854" spans="1:14" x14ac:dyDescent="0.25">
      <c r="A854">
        <v>1853</v>
      </c>
      <c r="B854">
        <v>24</v>
      </c>
      <c r="C854" t="s">
        <v>32</v>
      </c>
      <c r="D854" t="s">
        <v>16</v>
      </c>
      <c r="E854" t="s">
        <v>12</v>
      </c>
      <c r="F854" t="s">
        <v>15</v>
      </c>
      <c r="G854">
        <v>99020</v>
      </c>
      <c r="H854">
        <v>1</v>
      </c>
      <c r="I854">
        <v>46</v>
      </c>
      <c r="J854">
        <v>3</v>
      </c>
      <c r="K854">
        <v>3</v>
      </c>
      <c r="L854" s="1">
        <v>42808</v>
      </c>
      <c r="M854" s="1">
        <v>44564</v>
      </c>
      <c r="N854" t="s">
        <v>50</v>
      </c>
    </row>
    <row r="855" spans="1:14" x14ac:dyDescent="0.25">
      <c r="A855">
        <v>1854</v>
      </c>
      <c r="B855">
        <v>41</v>
      </c>
      <c r="C855" t="s">
        <v>32</v>
      </c>
      <c r="D855" t="s">
        <v>13</v>
      </c>
      <c r="E855" t="s">
        <v>14</v>
      </c>
      <c r="F855" t="s">
        <v>26</v>
      </c>
      <c r="G855">
        <v>59011</v>
      </c>
      <c r="H855">
        <v>19</v>
      </c>
      <c r="I855">
        <v>0</v>
      </c>
      <c r="J855">
        <v>5</v>
      </c>
      <c r="K855">
        <v>1</v>
      </c>
      <c r="L855" s="1">
        <v>43633</v>
      </c>
      <c r="M855" s="1"/>
      <c r="N855" t="s">
        <v>49</v>
      </c>
    </row>
    <row r="856" spans="1:14" x14ac:dyDescent="0.25">
      <c r="A856">
        <v>1855</v>
      </c>
      <c r="B856">
        <v>47</v>
      </c>
      <c r="C856" t="s">
        <v>32</v>
      </c>
      <c r="D856" t="s">
        <v>22</v>
      </c>
      <c r="E856" t="s">
        <v>14</v>
      </c>
      <c r="F856" t="s">
        <v>29</v>
      </c>
      <c r="G856">
        <v>66503</v>
      </c>
      <c r="H856">
        <v>28</v>
      </c>
      <c r="I856">
        <v>40</v>
      </c>
      <c r="J856">
        <v>5</v>
      </c>
      <c r="K856">
        <v>3</v>
      </c>
      <c r="L856" s="1">
        <v>45155</v>
      </c>
      <c r="M856" s="1">
        <v>43772</v>
      </c>
      <c r="N856" t="s">
        <v>50</v>
      </c>
    </row>
    <row r="857" spans="1:14" x14ac:dyDescent="0.25">
      <c r="A857">
        <v>1856</v>
      </c>
      <c r="B857">
        <v>32</v>
      </c>
      <c r="C857" t="s">
        <v>32</v>
      </c>
      <c r="D857" t="s">
        <v>13</v>
      </c>
      <c r="E857" t="s">
        <v>25</v>
      </c>
      <c r="F857" t="s">
        <v>45</v>
      </c>
      <c r="G857">
        <v>88866</v>
      </c>
      <c r="H857">
        <v>17</v>
      </c>
      <c r="I857">
        <v>28</v>
      </c>
      <c r="J857">
        <v>5</v>
      </c>
      <c r="K857">
        <v>8</v>
      </c>
      <c r="L857" s="1">
        <v>44261</v>
      </c>
      <c r="M857" s="1">
        <v>42578</v>
      </c>
      <c r="N857" t="s">
        <v>50</v>
      </c>
    </row>
    <row r="858" spans="1:14" x14ac:dyDescent="0.25">
      <c r="A858">
        <v>1857</v>
      </c>
      <c r="B858">
        <v>24</v>
      </c>
      <c r="C858" t="s">
        <v>32</v>
      </c>
      <c r="D858" t="s">
        <v>23</v>
      </c>
      <c r="E858" t="s">
        <v>14</v>
      </c>
      <c r="F858" t="s">
        <v>26</v>
      </c>
      <c r="G858">
        <v>57172</v>
      </c>
      <c r="H858">
        <v>5</v>
      </c>
      <c r="I858">
        <v>8</v>
      </c>
      <c r="J858">
        <v>2</v>
      </c>
      <c r="K858">
        <v>8</v>
      </c>
      <c r="L858" s="1">
        <v>44981</v>
      </c>
      <c r="M858" s="1"/>
      <c r="N858" t="s">
        <v>49</v>
      </c>
    </row>
    <row r="859" spans="1:14" x14ac:dyDescent="0.25">
      <c r="A859">
        <v>1858</v>
      </c>
      <c r="B859">
        <v>25</v>
      </c>
      <c r="C859" t="s">
        <v>31</v>
      </c>
      <c r="D859" t="s">
        <v>19</v>
      </c>
      <c r="E859" t="s">
        <v>12</v>
      </c>
      <c r="F859" t="s">
        <v>21</v>
      </c>
      <c r="G859">
        <v>100532</v>
      </c>
      <c r="H859">
        <v>2</v>
      </c>
      <c r="I859">
        <v>18</v>
      </c>
      <c r="K859">
        <v>9</v>
      </c>
      <c r="L859" s="1">
        <v>45557</v>
      </c>
      <c r="M859" s="1"/>
      <c r="N859" t="s">
        <v>49</v>
      </c>
    </row>
    <row r="860" spans="1:14" x14ac:dyDescent="0.25">
      <c r="A860">
        <v>1859</v>
      </c>
      <c r="B860">
        <v>45</v>
      </c>
      <c r="C860" t="s">
        <v>32</v>
      </c>
      <c r="D860" t="s">
        <v>22</v>
      </c>
      <c r="E860" t="s">
        <v>20</v>
      </c>
      <c r="F860" t="s">
        <v>17</v>
      </c>
      <c r="G860">
        <v>98031</v>
      </c>
      <c r="H860">
        <v>11</v>
      </c>
      <c r="I860">
        <v>41</v>
      </c>
      <c r="J860">
        <v>1</v>
      </c>
      <c r="K860">
        <v>2</v>
      </c>
      <c r="L860" s="1">
        <v>45466</v>
      </c>
      <c r="M860" s="1">
        <v>43352</v>
      </c>
      <c r="N860" t="s">
        <v>50</v>
      </c>
    </row>
    <row r="861" spans="1:14" x14ac:dyDescent="0.25">
      <c r="A861">
        <v>1860</v>
      </c>
      <c r="B861">
        <v>56</v>
      </c>
      <c r="C861" t="s">
        <v>32</v>
      </c>
      <c r="D861" t="s">
        <v>19</v>
      </c>
      <c r="E861" t="s">
        <v>12</v>
      </c>
      <c r="F861" t="s">
        <v>29</v>
      </c>
      <c r="G861">
        <v>65822</v>
      </c>
      <c r="H861">
        <v>9</v>
      </c>
      <c r="I861">
        <v>56</v>
      </c>
      <c r="J861">
        <v>5</v>
      </c>
      <c r="K861">
        <v>7</v>
      </c>
      <c r="L861" s="1">
        <v>42595</v>
      </c>
      <c r="M861" s="1"/>
      <c r="N861" t="s">
        <v>49</v>
      </c>
    </row>
    <row r="862" spans="1:14" x14ac:dyDescent="0.25">
      <c r="A862">
        <v>1861</v>
      </c>
      <c r="B862">
        <v>39</v>
      </c>
      <c r="C862" t="s">
        <v>31</v>
      </c>
      <c r="D862" t="s">
        <v>22</v>
      </c>
      <c r="E862" t="s">
        <v>25</v>
      </c>
      <c r="F862" t="s">
        <v>18</v>
      </c>
      <c r="G862">
        <v>78150</v>
      </c>
      <c r="H862">
        <v>22</v>
      </c>
      <c r="I862">
        <v>35</v>
      </c>
      <c r="J862">
        <v>5</v>
      </c>
      <c r="K862">
        <v>7</v>
      </c>
      <c r="L862" s="1">
        <v>43335</v>
      </c>
      <c r="M862" s="1"/>
      <c r="N862" t="s">
        <v>49</v>
      </c>
    </row>
    <row r="863" spans="1:14" x14ac:dyDescent="0.25">
      <c r="A863">
        <v>1862</v>
      </c>
      <c r="B863">
        <v>48</v>
      </c>
      <c r="C863" t="s">
        <v>31</v>
      </c>
      <c r="D863" t="s">
        <v>23</v>
      </c>
      <c r="E863" t="s">
        <v>28</v>
      </c>
      <c r="F863" t="s">
        <v>21</v>
      </c>
      <c r="G863">
        <v>81427</v>
      </c>
      <c r="H863">
        <v>13</v>
      </c>
      <c r="I863">
        <v>2</v>
      </c>
      <c r="J863">
        <v>1</v>
      </c>
      <c r="K863">
        <v>1</v>
      </c>
      <c r="L863" s="1">
        <v>43999</v>
      </c>
      <c r="M863" s="1"/>
      <c r="N863" t="s">
        <v>49</v>
      </c>
    </row>
    <row r="864" spans="1:14" x14ac:dyDescent="0.25">
      <c r="A864">
        <v>1863</v>
      </c>
      <c r="B864">
        <v>36</v>
      </c>
      <c r="C864" t="s">
        <v>32</v>
      </c>
      <c r="D864" t="s">
        <v>13</v>
      </c>
      <c r="E864" t="s">
        <v>14</v>
      </c>
      <c r="F864" t="s">
        <v>29</v>
      </c>
      <c r="G864">
        <v>101721</v>
      </c>
      <c r="H864">
        <v>15</v>
      </c>
      <c r="I864">
        <v>44</v>
      </c>
      <c r="J864">
        <v>1</v>
      </c>
      <c r="K864">
        <v>4</v>
      </c>
      <c r="L864" s="1">
        <v>45370</v>
      </c>
      <c r="M864" s="1"/>
      <c r="N864" t="s">
        <v>49</v>
      </c>
    </row>
    <row r="865" spans="1:14" x14ac:dyDescent="0.25">
      <c r="A865">
        <v>1864</v>
      </c>
      <c r="B865">
        <v>41</v>
      </c>
      <c r="C865" t="s">
        <v>32</v>
      </c>
      <c r="D865" t="s">
        <v>27</v>
      </c>
      <c r="E865" t="s">
        <v>14</v>
      </c>
      <c r="F865" t="s">
        <v>21</v>
      </c>
      <c r="G865">
        <v>74249</v>
      </c>
      <c r="H865">
        <v>8</v>
      </c>
      <c r="I865">
        <v>43</v>
      </c>
      <c r="J865">
        <v>3</v>
      </c>
      <c r="K865">
        <v>8</v>
      </c>
      <c r="L865" s="1">
        <v>42299</v>
      </c>
      <c r="M865" s="1"/>
      <c r="N865" t="s">
        <v>49</v>
      </c>
    </row>
    <row r="866" spans="1:14" x14ac:dyDescent="0.25">
      <c r="A866">
        <v>1865</v>
      </c>
      <c r="B866">
        <v>35</v>
      </c>
      <c r="C866" t="s">
        <v>31</v>
      </c>
      <c r="D866" t="s">
        <v>19</v>
      </c>
      <c r="E866" t="s">
        <v>12</v>
      </c>
      <c r="F866" t="s">
        <v>26</v>
      </c>
      <c r="G866">
        <v>77938</v>
      </c>
      <c r="H866">
        <v>9</v>
      </c>
      <c r="I866">
        <v>35</v>
      </c>
      <c r="K866">
        <v>9</v>
      </c>
      <c r="L866" s="1">
        <v>44952</v>
      </c>
      <c r="M866" s="1"/>
      <c r="N866" t="s">
        <v>49</v>
      </c>
    </row>
    <row r="867" spans="1:14" x14ac:dyDescent="0.25">
      <c r="A867">
        <v>1866</v>
      </c>
      <c r="B867">
        <v>34</v>
      </c>
      <c r="C867" t="s">
        <v>32</v>
      </c>
      <c r="D867" t="s">
        <v>22</v>
      </c>
      <c r="E867" t="s">
        <v>12</v>
      </c>
      <c r="F867" t="s">
        <v>26</v>
      </c>
      <c r="G867">
        <v>59470</v>
      </c>
      <c r="H867">
        <v>15</v>
      </c>
      <c r="I867">
        <v>11</v>
      </c>
      <c r="J867">
        <v>5</v>
      </c>
      <c r="K867">
        <v>6</v>
      </c>
      <c r="L867" s="1">
        <v>43108</v>
      </c>
      <c r="M867" s="1"/>
      <c r="N867" t="s">
        <v>49</v>
      </c>
    </row>
    <row r="868" spans="1:14" x14ac:dyDescent="0.25">
      <c r="A868">
        <v>1867</v>
      </c>
      <c r="B868">
        <v>30</v>
      </c>
      <c r="C868" t="s">
        <v>31</v>
      </c>
      <c r="D868" t="s">
        <v>22</v>
      </c>
      <c r="E868" t="s">
        <v>25</v>
      </c>
      <c r="F868" t="s">
        <v>45</v>
      </c>
      <c r="G868">
        <v>57354</v>
      </c>
      <c r="H868">
        <v>13</v>
      </c>
      <c r="I868">
        <v>34</v>
      </c>
      <c r="J868">
        <v>4</v>
      </c>
      <c r="K868">
        <v>2</v>
      </c>
      <c r="L868" s="1">
        <v>42156</v>
      </c>
      <c r="M868" s="1"/>
      <c r="N868" t="s">
        <v>49</v>
      </c>
    </row>
    <row r="869" spans="1:14" x14ac:dyDescent="0.25">
      <c r="A869">
        <v>1868</v>
      </c>
      <c r="B869">
        <v>49</v>
      </c>
      <c r="C869" t="s">
        <v>31</v>
      </c>
      <c r="D869" t="s">
        <v>27</v>
      </c>
      <c r="E869" t="s">
        <v>14</v>
      </c>
      <c r="F869" t="s">
        <v>18</v>
      </c>
      <c r="G869">
        <v>61513</v>
      </c>
      <c r="H869">
        <v>29</v>
      </c>
      <c r="I869">
        <v>56</v>
      </c>
      <c r="J869">
        <v>3</v>
      </c>
      <c r="K869">
        <v>6</v>
      </c>
      <c r="L869" s="1">
        <v>44428</v>
      </c>
      <c r="M869" s="1"/>
      <c r="N869" t="s">
        <v>49</v>
      </c>
    </row>
    <row r="870" spans="1:14" x14ac:dyDescent="0.25">
      <c r="A870">
        <v>1869</v>
      </c>
      <c r="B870">
        <v>39</v>
      </c>
      <c r="C870" t="s">
        <v>32</v>
      </c>
      <c r="D870" t="s">
        <v>23</v>
      </c>
      <c r="E870" t="s">
        <v>28</v>
      </c>
      <c r="F870" t="s">
        <v>17</v>
      </c>
      <c r="G870">
        <v>73181</v>
      </c>
      <c r="H870">
        <v>11</v>
      </c>
      <c r="I870">
        <v>33</v>
      </c>
      <c r="J870">
        <v>3</v>
      </c>
      <c r="K870">
        <v>7</v>
      </c>
      <c r="L870" s="1">
        <v>45133</v>
      </c>
      <c r="M870" s="1"/>
      <c r="N870" t="s">
        <v>49</v>
      </c>
    </row>
    <row r="871" spans="1:14" x14ac:dyDescent="0.25">
      <c r="A871">
        <v>1870</v>
      </c>
      <c r="B871">
        <v>26</v>
      </c>
      <c r="C871" t="s">
        <v>31</v>
      </c>
      <c r="D871" t="s">
        <v>19</v>
      </c>
      <c r="E871" t="s">
        <v>12</v>
      </c>
      <c r="F871" t="s">
        <v>15</v>
      </c>
      <c r="G871">
        <v>89769</v>
      </c>
      <c r="H871">
        <v>7</v>
      </c>
      <c r="I871">
        <v>16</v>
      </c>
      <c r="J871">
        <v>3</v>
      </c>
      <c r="K871">
        <v>8</v>
      </c>
      <c r="L871" s="1">
        <v>44211</v>
      </c>
      <c r="M871" s="1"/>
      <c r="N871" t="s">
        <v>49</v>
      </c>
    </row>
    <row r="872" spans="1:14" x14ac:dyDescent="0.25">
      <c r="A872">
        <v>1871</v>
      </c>
      <c r="B872">
        <v>39</v>
      </c>
      <c r="C872" t="s">
        <v>32</v>
      </c>
      <c r="D872" t="s">
        <v>27</v>
      </c>
      <c r="E872" t="s">
        <v>14</v>
      </c>
      <c r="F872" t="s">
        <v>26</v>
      </c>
      <c r="G872">
        <v>66096</v>
      </c>
      <c r="H872">
        <v>8</v>
      </c>
      <c r="I872">
        <v>9</v>
      </c>
      <c r="J872">
        <v>3</v>
      </c>
      <c r="K872">
        <v>4</v>
      </c>
      <c r="L872" s="1">
        <v>43695</v>
      </c>
      <c r="M872" s="1"/>
      <c r="N872" t="s">
        <v>49</v>
      </c>
    </row>
    <row r="873" spans="1:14" x14ac:dyDescent="0.25">
      <c r="A873">
        <v>1872</v>
      </c>
      <c r="B873">
        <v>46</v>
      </c>
      <c r="C873" t="s">
        <v>32</v>
      </c>
      <c r="D873" t="s">
        <v>19</v>
      </c>
      <c r="E873" t="s">
        <v>20</v>
      </c>
      <c r="F873" t="s">
        <v>18</v>
      </c>
      <c r="G873">
        <v>61448</v>
      </c>
      <c r="H873">
        <v>18</v>
      </c>
      <c r="I873">
        <v>59</v>
      </c>
      <c r="K873">
        <v>7</v>
      </c>
      <c r="L873" s="1">
        <v>45304</v>
      </c>
      <c r="M873" s="1"/>
      <c r="N873" t="s">
        <v>49</v>
      </c>
    </row>
    <row r="874" spans="1:14" x14ac:dyDescent="0.25">
      <c r="A874">
        <v>1873</v>
      </c>
      <c r="B874">
        <v>49</v>
      </c>
      <c r="C874" t="s">
        <v>31</v>
      </c>
      <c r="D874" t="s">
        <v>22</v>
      </c>
      <c r="E874" t="s">
        <v>20</v>
      </c>
      <c r="F874" t="s">
        <v>15</v>
      </c>
      <c r="G874">
        <v>51633</v>
      </c>
      <c r="H874">
        <v>14</v>
      </c>
      <c r="I874">
        <v>39</v>
      </c>
      <c r="J874">
        <v>2</v>
      </c>
      <c r="K874">
        <v>2</v>
      </c>
      <c r="L874" s="1">
        <v>43926</v>
      </c>
      <c r="M874" s="1">
        <v>44443</v>
      </c>
      <c r="N874" t="s">
        <v>50</v>
      </c>
    </row>
    <row r="875" spans="1:14" x14ac:dyDescent="0.25">
      <c r="A875">
        <v>1874</v>
      </c>
      <c r="B875">
        <v>51</v>
      </c>
      <c r="C875" t="s">
        <v>32</v>
      </c>
      <c r="D875" t="s">
        <v>22</v>
      </c>
      <c r="E875" t="s">
        <v>25</v>
      </c>
      <c r="F875" t="s">
        <v>45</v>
      </c>
      <c r="G875">
        <v>95200</v>
      </c>
      <c r="H875">
        <v>10</v>
      </c>
      <c r="I875">
        <v>26</v>
      </c>
      <c r="J875">
        <v>1</v>
      </c>
      <c r="K875">
        <v>6</v>
      </c>
      <c r="L875" s="1">
        <v>44485</v>
      </c>
      <c r="M875" s="1">
        <v>44380</v>
      </c>
      <c r="N875" t="s">
        <v>50</v>
      </c>
    </row>
    <row r="876" spans="1:14" x14ac:dyDescent="0.25">
      <c r="A876">
        <v>1875</v>
      </c>
      <c r="B876">
        <v>25</v>
      </c>
      <c r="C876" t="s">
        <v>32</v>
      </c>
      <c r="D876" t="s">
        <v>16</v>
      </c>
      <c r="E876" t="s">
        <v>25</v>
      </c>
      <c r="F876" t="s">
        <v>26</v>
      </c>
      <c r="G876">
        <v>89951</v>
      </c>
      <c r="H876">
        <v>4</v>
      </c>
      <c r="I876">
        <v>31</v>
      </c>
      <c r="J876">
        <v>4</v>
      </c>
      <c r="K876">
        <v>5</v>
      </c>
      <c r="L876" s="1">
        <v>42055</v>
      </c>
      <c r="M876" s="1"/>
      <c r="N876" t="s">
        <v>49</v>
      </c>
    </row>
    <row r="877" spans="1:14" x14ac:dyDescent="0.25">
      <c r="A877">
        <v>1876</v>
      </c>
      <c r="B877">
        <v>56</v>
      </c>
      <c r="C877" t="s">
        <v>31</v>
      </c>
      <c r="D877" t="s">
        <v>19</v>
      </c>
      <c r="E877" t="s">
        <v>14</v>
      </c>
      <c r="F877" t="s">
        <v>29</v>
      </c>
      <c r="G877">
        <v>60414</v>
      </c>
      <c r="H877">
        <v>29</v>
      </c>
      <c r="I877">
        <v>9</v>
      </c>
      <c r="J877">
        <v>2</v>
      </c>
      <c r="K877">
        <v>4</v>
      </c>
      <c r="L877" s="1">
        <v>42883</v>
      </c>
      <c r="M877" s="1">
        <v>44489</v>
      </c>
      <c r="N877" t="s">
        <v>50</v>
      </c>
    </row>
    <row r="878" spans="1:14" x14ac:dyDescent="0.25">
      <c r="A878">
        <v>1877</v>
      </c>
      <c r="B878">
        <v>57</v>
      </c>
      <c r="C878" t="s">
        <v>31</v>
      </c>
      <c r="D878" t="s">
        <v>19</v>
      </c>
      <c r="E878" t="s">
        <v>20</v>
      </c>
      <c r="F878" t="s">
        <v>15</v>
      </c>
      <c r="G878">
        <v>83553</v>
      </c>
      <c r="H878">
        <v>11</v>
      </c>
      <c r="I878">
        <v>33</v>
      </c>
      <c r="K878">
        <v>3</v>
      </c>
      <c r="L878" s="1">
        <v>43932</v>
      </c>
      <c r="M878" s="1"/>
      <c r="N878" t="s">
        <v>49</v>
      </c>
    </row>
    <row r="879" spans="1:14" x14ac:dyDescent="0.25">
      <c r="A879">
        <v>1878</v>
      </c>
      <c r="B879">
        <v>32</v>
      </c>
      <c r="C879" t="s">
        <v>31</v>
      </c>
      <c r="D879" t="s">
        <v>16</v>
      </c>
      <c r="E879" t="s">
        <v>12</v>
      </c>
      <c r="F879" t="s">
        <v>26</v>
      </c>
      <c r="G879">
        <v>81713</v>
      </c>
      <c r="H879">
        <v>18</v>
      </c>
      <c r="I879">
        <v>4</v>
      </c>
      <c r="J879">
        <v>1</v>
      </c>
      <c r="K879">
        <v>1</v>
      </c>
      <c r="L879" s="1">
        <v>45610</v>
      </c>
      <c r="M879" s="1">
        <v>43812</v>
      </c>
      <c r="N879" t="s">
        <v>50</v>
      </c>
    </row>
    <row r="880" spans="1:14" x14ac:dyDescent="0.25">
      <c r="A880">
        <v>1879</v>
      </c>
      <c r="B880">
        <v>33</v>
      </c>
      <c r="C880" t="s">
        <v>31</v>
      </c>
      <c r="D880" t="s">
        <v>13</v>
      </c>
      <c r="E880" t="s">
        <v>12</v>
      </c>
      <c r="F880" t="s">
        <v>15</v>
      </c>
      <c r="G880">
        <v>102676</v>
      </c>
      <c r="H880">
        <v>10</v>
      </c>
      <c r="I880">
        <v>24</v>
      </c>
      <c r="K880">
        <v>6</v>
      </c>
      <c r="L880" s="1">
        <v>45337</v>
      </c>
      <c r="M880" s="1"/>
      <c r="N880" t="s">
        <v>49</v>
      </c>
    </row>
    <row r="881" spans="1:14" x14ac:dyDescent="0.25">
      <c r="A881">
        <v>1880</v>
      </c>
      <c r="B881">
        <v>53</v>
      </c>
      <c r="C881" t="s">
        <v>32</v>
      </c>
      <c r="D881" t="s">
        <v>19</v>
      </c>
      <c r="E881" t="s">
        <v>25</v>
      </c>
      <c r="F881" t="s">
        <v>15</v>
      </c>
      <c r="G881">
        <v>94272</v>
      </c>
      <c r="H881">
        <v>30</v>
      </c>
      <c r="I881">
        <v>22</v>
      </c>
      <c r="J881">
        <v>3</v>
      </c>
      <c r="K881">
        <v>7</v>
      </c>
      <c r="L881" s="1">
        <v>43560</v>
      </c>
      <c r="M881" s="1"/>
      <c r="N881" t="s">
        <v>49</v>
      </c>
    </row>
    <row r="882" spans="1:14" x14ac:dyDescent="0.25">
      <c r="A882">
        <v>1881</v>
      </c>
      <c r="B882">
        <v>25</v>
      </c>
      <c r="C882" t="s">
        <v>31</v>
      </c>
      <c r="D882" t="s">
        <v>23</v>
      </c>
      <c r="E882" t="s">
        <v>14</v>
      </c>
      <c r="F882" t="s">
        <v>26</v>
      </c>
      <c r="G882">
        <v>58804</v>
      </c>
      <c r="H882">
        <v>1</v>
      </c>
      <c r="I882">
        <v>55</v>
      </c>
      <c r="J882">
        <v>2</v>
      </c>
      <c r="K882">
        <v>6</v>
      </c>
      <c r="L882" s="1">
        <v>45028</v>
      </c>
      <c r="M882" s="1">
        <v>44361</v>
      </c>
      <c r="N882" t="s">
        <v>50</v>
      </c>
    </row>
    <row r="883" spans="1:14" x14ac:dyDescent="0.25">
      <c r="A883">
        <v>1882</v>
      </c>
      <c r="B883">
        <v>22</v>
      </c>
      <c r="C883" t="s">
        <v>31</v>
      </c>
      <c r="D883" t="s">
        <v>23</v>
      </c>
      <c r="E883" t="s">
        <v>28</v>
      </c>
      <c r="F883" t="s">
        <v>45</v>
      </c>
      <c r="G883">
        <v>99695</v>
      </c>
      <c r="H883">
        <v>29</v>
      </c>
      <c r="I883">
        <v>5</v>
      </c>
      <c r="K883">
        <v>1</v>
      </c>
      <c r="L883" s="1">
        <v>42315</v>
      </c>
      <c r="M883" s="1"/>
      <c r="N883" t="s">
        <v>49</v>
      </c>
    </row>
    <row r="884" spans="1:14" x14ac:dyDescent="0.25">
      <c r="A884">
        <v>1883</v>
      </c>
      <c r="B884">
        <v>40</v>
      </c>
      <c r="C884" t="s">
        <v>32</v>
      </c>
      <c r="D884" t="s">
        <v>13</v>
      </c>
      <c r="E884" t="s">
        <v>12</v>
      </c>
      <c r="F884" t="s">
        <v>18</v>
      </c>
      <c r="G884">
        <v>56743</v>
      </c>
      <c r="H884">
        <v>20</v>
      </c>
      <c r="I884">
        <v>57</v>
      </c>
      <c r="J884">
        <v>4</v>
      </c>
      <c r="K884">
        <v>9</v>
      </c>
      <c r="L884" s="1">
        <v>43699</v>
      </c>
      <c r="M884" s="1">
        <v>43347</v>
      </c>
      <c r="N884" t="s">
        <v>50</v>
      </c>
    </row>
    <row r="885" spans="1:14" x14ac:dyDescent="0.25">
      <c r="A885">
        <v>1884</v>
      </c>
      <c r="B885">
        <v>43</v>
      </c>
      <c r="C885" t="s">
        <v>32</v>
      </c>
      <c r="D885" t="s">
        <v>22</v>
      </c>
      <c r="E885" t="s">
        <v>25</v>
      </c>
      <c r="F885" t="s">
        <v>17</v>
      </c>
      <c r="G885">
        <v>103161</v>
      </c>
      <c r="H885">
        <v>3</v>
      </c>
      <c r="I885">
        <v>42</v>
      </c>
      <c r="J885">
        <v>5</v>
      </c>
      <c r="K885">
        <v>3</v>
      </c>
      <c r="L885" s="1">
        <v>44065</v>
      </c>
      <c r="M885" s="1"/>
      <c r="N885" t="s">
        <v>49</v>
      </c>
    </row>
    <row r="886" spans="1:14" x14ac:dyDescent="0.25">
      <c r="A886">
        <v>1885</v>
      </c>
      <c r="B886">
        <v>56</v>
      </c>
      <c r="C886" t="s">
        <v>31</v>
      </c>
      <c r="D886" t="s">
        <v>22</v>
      </c>
      <c r="E886" t="s">
        <v>12</v>
      </c>
      <c r="F886" t="s">
        <v>29</v>
      </c>
      <c r="G886">
        <v>71029</v>
      </c>
      <c r="H886">
        <v>14</v>
      </c>
      <c r="I886">
        <v>0</v>
      </c>
      <c r="J886">
        <v>2</v>
      </c>
      <c r="K886">
        <v>6</v>
      </c>
      <c r="L886" s="1">
        <v>44477</v>
      </c>
      <c r="M886" s="1"/>
      <c r="N886" t="s">
        <v>49</v>
      </c>
    </row>
    <row r="887" spans="1:14" x14ac:dyDescent="0.25">
      <c r="A887">
        <v>1886</v>
      </c>
      <c r="B887">
        <v>60</v>
      </c>
      <c r="C887" t="s">
        <v>31</v>
      </c>
      <c r="D887" t="s">
        <v>23</v>
      </c>
      <c r="E887" t="s">
        <v>12</v>
      </c>
      <c r="F887" t="s">
        <v>45</v>
      </c>
      <c r="G887">
        <v>94909</v>
      </c>
      <c r="H887">
        <v>9</v>
      </c>
      <c r="I887">
        <v>0</v>
      </c>
      <c r="J887">
        <v>4</v>
      </c>
      <c r="K887">
        <v>8</v>
      </c>
      <c r="L887" s="1">
        <v>42545</v>
      </c>
      <c r="M887" s="1">
        <v>43874</v>
      </c>
      <c r="N887" t="s">
        <v>50</v>
      </c>
    </row>
    <row r="888" spans="1:14" x14ac:dyDescent="0.25">
      <c r="A888">
        <v>1887</v>
      </c>
      <c r="B888">
        <v>36</v>
      </c>
      <c r="C888" t="s">
        <v>32</v>
      </c>
      <c r="D888" t="s">
        <v>16</v>
      </c>
      <c r="E888" t="s">
        <v>20</v>
      </c>
      <c r="F888" t="s">
        <v>15</v>
      </c>
      <c r="G888">
        <v>68648</v>
      </c>
      <c r="H888">
        <v>15</v>
      </c>
      <c r="I888">
        <v>6</v>
      </c>
      <c r="J888">
        <v>2</v>
      </c>
      <c r="K888">
        <v>4</v>
      </c>
      <c r="L888" s="1">
        <v>45048</v>
      </c>
      <c r="M888" s="1"/>
      <c r="N888" t="s">
        <v>49</v>
      </c>
    </row>
    <row r="889" spans="1:14" x14ac:dyDescent="0.25">
      <c r="A889">
        <v>1888</v>
      </c>
      <c r="B889">
        <v>34</v>
      </c>
      <c r="C889" t="s">
        <v>32</v>
      </c>
      <c r="D889" t="s">
        <v>16</v>
      </c>
      <c r="E889" t="s">
        <v>25</v>
      </c>
      <c r="F889" t="s">
        <v>21</v>
      </c>
      <c r="G889">
        <v>57753</v>
      </c>
      <c r="H889">
        <v>20</v>
      </c>
      <c r="I889">
        <v>28</v>
      </c>
      <c r="J889">
        <v>5</v>
      </c>
      <c r="K889">
        <v>3</v>
      </c>
      <c r="L889" s="1">
        <v>43269</v>
      </c>
      <c r="M889" s="1"/>
      <c r="N889" t="s">
        <v>49</v>
      </c>
    </row>
    <row r="890" spans="1:14" x14ac:dyDescent="0.25">
      <c r="A890">
        <v>1889</v>
      </c>
      <c r="B890">
        <v>23</v>
      </c>
      <c r="C890" t="s">
        <v>32</v>
      </c>
      <c r="D890" t="s">
        <v>16</v>
      </c>
      <c r="E890" t="s">
        <v>25</v>
      </c>
      <c r="F890" t="s">
        <v>29</v>
      </c>
      <c r="G890">
        <v>84214</v>
      </c>
      <c r="H890">
        <v>7</v>
      </c>
      <c r="I890">
        <v>39</v>
      </c>
      <c r="J890">
        <v>3</v>
      </c>
      <c r="K890">
        <v>3</v>
      </c>
      <c r="L890" s="1">
        <v>42070</v>
      </c>
      <c r="M890" s="1"/>
      <c r="N890" t="s">
        <v>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792A5-6168-4A7B-9507-F8E624EA70CA}">
  <dimension ref="A3:G57"/>
  <sheetViews>
    <sheetView zoomScaleNormal="100" workbookViewId="0">
      <selection activeCell="H17" sqref="H17"/>
    </sheetView>
  </sheetViews>
  <sheetFormatPr defaultRowHeight="15" x14ac:dyDescent="0.25"/>
  <cols>
    <col min="1" max="1" width="13.42578125" bestFit="1" customWidth="1"/>
    <col min="2" max="2" width="21" bestFit="1" customWidth="1"/>
    <col min="4" max="4" width="20.42578125" bestFit="1" customWidth="1"/>
    <col min="5" max="5" width="21" bestFit="1" customWidth="1"/>
    <col min="6" max="6" width="6.7109375" bestFit="1" customWidth="1"/>
    <col min="7" max="7" width="11.28515625" bestFit="1" customWidth="1"/>
  </cols>
  <sheetData>
    <row r="3" spans="1:5" x14ac:dyDescent="0.25">
      <c r="A3" s="2" t="s">
        <v>46</v>
      </c>
      <c r="B3" t="s">
        <v>48</v>
      </c>
      <c r="D3" s="2" t="s">
        <v>46</v>
      </c>
      <c r="E3" t="s">
        <v>52</v>
      </c>
    </row>
    <row r="4" spans="1:5" x14ac:dyDescent="0.25">
      <c r="A4" s="3" t="s">
        <v>23</v>
      </c>
      <c r="B4">
        <v>77954.489473684211</v>
      </c>
      <c r="D4" s="3">
        <v>1</v>
      </c>
      <c r="E4">
        <v>133</v>
      </c>
    </row>
    <row r="5" spans="1:5" x14ac:dyDescent="0.25">
      <c r="A5" s="3" t="s">
        <v>13</v>
      </c>
      <c r="B5">
        <v>78769.543999999994</v>
      </c>
      <c r="D5" s="3">
        <v>2</v>
      </c>
      <c r="E5">
        <v>137</v>
      </c>
    </row>
    <row r="6" spans="1:5" x14ac:dyDescent="0.25">
      <c r="A6" s="3" t="s">
        <v>27</v>
      </c>
      <c r="B6">
        <v>77079.307291666672</v>
      </c>
      <c r="D6" s="3">
        <v>3</v>
      </c>
      <c r="E6">
        <v>158</v>
      </c>
    </row>
    <row r="7" spans="1:5" x14ac:dyDescent="0.25">
      <c r="A7" s="3" t="s">
        <v>16</v>
      </c>
      <c r="B7">
        <v>76602.262626262629</v>
      </c>
      <c r="D7" s="3">
        <v>4</v>
      </c>
      <c r="E7">
        <v>150</v>
      </c>
    </row>
    <row r="8" spans="1:5" x14ac:dyDescent="0.25">
      <c r="A8" s="3" t="s">
        <v>19</v>
      </c>
      <c r="B8">
        <v>75854.065420560742</v>
      </c>
      <c r="D8" s="3">
        <v>5</v>
      </c>
      <c r="E8">
        <v>150</v>
      </c>
    </row>
    <row r="9" spans="1:5" x14ac:dyDescent="0.25">
      <c r="A9" s="3" t="s">
        <v>22</v>
      </c>
      <c r="B9">
        <v>79429.329545454544</v>
      </c>
      <c r="D9" s="3" t="s">
        <v>47</v>
      </c>
      <c r="E9">
        <v>728</v>
      </c>
    </row>
    <row r="10" spans="1:5" x14ac:dyDescent="0.25">
      <c r="A10" s="3" t="s">
        <v>47</v>
      </c>
      <c r="B10">
        <v>77768.665916760408</v>
      </c>
    </row>
    <row r="12" spans="1:5" x14ac:dyDescent="0.25">
      <c r="D12" s="4" t="s">
        <v>53</v>
      </c>
      <c r="E12">
        <f xml:space="preserve"> GETPIVOTDATA("Employee ID",$A$23,"Employment Status","Exited")/GETPIVOTDATA("Employee ID",$A$23)</f>
        <v>0.29246344206974129</v>
      </c>
    </row>
    <row r="13" spans="1:5" x14ac:dyDescent="0.25">
      <c r="A13" s="2" t="s">
        <v>46</v>
      </c>
      <c r="B13" t="s">
        <v>52</v>
      </c>
    </row>
    <row r="14" spans="1:5" x14ac:dyDescent="0.25">
      <c r="A14" s="3" t="s">
        <v>23</v>
      </c>
      <c r="B14">
        <v>190</v>
      </c>
    </row>
    <row r="15" spans="1:5" x14ac:dyDescent="0.25">
      <c r="A15" s="3" t="s">
        <v>13</v>
      </c>
      <c r="B15">
        <v>125</v>
      </c>
      <c r="D15" s="2" t="s">
        <v>46</v>
      </c>
      <c r="E15" t="s">
        <v>48</v>
      </c>
    </row>
    <row r="16" spans="1:5" x14ac:dyDescent="0.25">
      <c r="A16" s="3" t="s">
        <v>27</v>
      </c>
      <c r="B16">
        <v>192</v>
      </c>
      <c r="D16" s="3" t="s">
        <v>49</v>
      </c>
      <c r="E16">
        <v>78427.198728139905</v>
      </c>
    </row>
    <row r="17" spans="1:7" x14ac:dyDescent="0.25">
      <c r="A17" s="3" t="s">
        <v>16</v>
      </c>
      <c r="B17">
        <v>99</v>
      </c>
      <c r="D17" s="3" t="s">
        <v>50</v>
      </c>
      <c r="E17">
        <v>76175.523076923084</v>
      </c>
    </row>
    <row r="18" spans="1:7" x14ac:dyDescent="0.25">
      <c r="A18" s="3" t="s">
        <v>19</v>
      </c>
      <c r="B18">
        <v>107</v>
      </c>
      <c r="D18" s="3" t="s">
        <v>47</v>
      </c>
      <c r="E18">
        <v>77768.665916760408</v>
      </c>
    </row>
    <row r="19" spans="1:7" x14ac:dyDescent="0.25">
      <c r="A19" s="3" t="s">
        <v>22</v>
      </c>
      <c r="B19">
        <v>176</v>
      </c>
    </row>
    <row r="20" spans="1:7" x14ac:dyDescent="0.25">
      <c r="A20" s="3" t="s">
        <v>47</v>
      </c>
      <c r="B20">
        <v>889</v>
      </c>
    </row>
    <row r="21" spans="1:7" x14ac:dyDescent="0.25">
      <c r="D21" s="2" t="s">
        <v>55</v>
      </c>
      <c r="E21" s="2" t="s">
        <v>54</v>
      </c>
    </row>
    <row r="22" spans="1:7" x14ac:dyDescent="0.25">
      <c r="D22" s="2" t="s">
        <v>46</v>
      </c>
      <c r="E22" t="s">
        <v>49</v>
      </c>
      <c r="F22" t="s">
        <v>50</v>
      </c>
      <c r="G22" t="s">
        <v>47</v>
      </c>
    </row>
    <row r="23" spans="1:7" x14ac:dyDescent="0.25">
      <c r="A23" s="2" t="s">
        <v>46</v>
      </c>
      <c r="B23" t="s">
        <v>52</v>
      </c>
      <c r="D23" s="3" t="s">
        <v>23</v>
      </c>
      <c r="E23">
        <v>127</v>
      </c>
      <c r="F23">
        <v>63</v>
      </c>
      <c r="G23">
        <v>190</v>
      </c>
    </row>
    <row r="24" spans="1:7" x14ac:dyDescent="0.25">
      <c r="A24" s="3" t="s">
        <v>49</v>
      </c>
      <c r="B24">
        <v>629</v>
      </c>
      <c r="D24" s="3" t="s">
        <v>13</v>
      </c>
      <c r="E24">
        <v>90</v>
      </c>
      <c r="F24">
        <v>35</v>
      </c>
      <c r="G24">
        <v>125</v>
      </c>
    </row>
    <row r="25" spans="1:7" x14ac:dyDescent="0.25">
      <c r="A25" s="3" t="s">
        <v>50</v>
      </c>
      <c r="B25">
        <v>260</v>
      </c>
      <c r="D25" s="3" t="s">
        <v>27</v>
      </c>
      <c r="E25">
        <v>143</v>
      </c>
      <c r="F25">
        <v>49</v>
      </c>
      <c r="G25">
        <v>192</v>
      </c>
    </row>
    <row r="26" spans="1:7" x14ac:dyDescent="0.25">
      <c r="A26" s="3" t="s">
        <v>47</v>
      </c>
      <c r="B26">
        <v>889</v>
      </c>
      <c r="D26" s="3" t="s">
        <v>16</v>
      </c>
      <c r="E26">
        <v>70</v>
      </c>
      <c r="F26">
        <v>29</v>
      </c>
      <c r="G26">
        <v>99</v>
      </c>
    </row>
    <row r="27" spans="1:7" x14ac:dyDescent="0.25">
      <c r="D27" s="3" t="s">
        <v>19</v>
      </c>
      <c r="E27">
        <v>72</v>
      </c>
      <c r="F27">
        <v>35</v>
      </c>
      <c r="G27">
        <v>107</v>
      </c>
    </row>
    <row r="28" spans="1:7" x14ac:dyDescent="0.25">
      <c r="D28" s="3" t="s">
        <v>22</v>
      </c>
      <c r="E28">
        <v>127</v>
      </c>
      <c r="F28">
        <v>49</v>
      </c>
      <c r="G28">
        <v>176</v>
      </c>
    </row>
    <row r="29" spans="1:7" x14ac:dyDescent="0.25">
      <c r="D29" s="3" t="s">
        <v>47</v>
      </c>
      <c r="E29">
        <v>629</v>
      </c>
      <c r="F29">
        <v>260</v>
      </c>
      <c r="G29">
        <v>889</v>
      </c>
    </row>
    <row r="57" spans="4:5" x14ac:dyDescent="0.25">
      <c r="D57">
        <f>GETPIVOTDATA("Employee ID",$A$13)</f>
        <v>889</v>
      </c>
      <c r="E57">
        <f>GETPIVOTDATA("Employee ID",$A$23,"Employment Status","Active")</f>
        <v>629</v>
      </c>
    </row>
  </sheetData>
  <pageMargins left="0.7" right="0.7" top="0.75" bottom="0.75" header="0.3" footer="0.3"/>
  <pageSetup orientation="portrait" horizontalDpi="0" verticalDpi="0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9CA48-17D3-499F-B8E4-95EC5C3D2B90}">
  <dimension ref="A1"/>
  <sheetViews>
    <sheetView showGridLines="0" topLeftCell="A7" zoomScaleNormal="100" workbookViewId="0">
      <selection activeCell="R45" sqref="R45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B1A9BD55-4564-4D3F-A087-F4F404172866}">
  <ds:schemaRefs/>
</ds:datastoreItem>
</file>

<file path=customXml/itemProps2.xml><?xml version="1.0" encoding="utf-8"?>
<ds:datastoreItem xmlns:ds="http://schemas.openxmlformats.org/officeDocument/2006/customXml" ds:itemID="{8308ABC0-3A3E-4270-821E-70CB6DCC91CE}">
  <ds:schemaRefs/>
</ds:datastoreItem>
</file>

<file path=customXml/itemProps3.xml><?xml version="1.0" encoding="utf-8"?>
<ds:datastoreItem xmlns:ds="http://schemas.openxmlformats.org/officeDocument/2006/customXml" ds:itemID="{583E97B2-695C-4712-9932-587B1BC6491F}">
  <ds:schemaRefs/>
</ds:datastoreItem>
</file>

<file path=customXml/itemProps4.xml><?xml version="1.0" encoding="utf-8"?>
<ds:datastoreItem xmlns:ds="http://schemas.openxmlformats.org/officeDocument/2006/customXml" ds:itemID="{4B0D7C75-D43C-4844-9B8B-82500D9F96C0}">
  <ds:schemaRefs/>
</ds:datastoreItem>
</file>

<file path=customXml/itemProps5.xml><?xml version="1.0" encoding="utf-8"?>
<ds:datastoreItem xmlns:ds="http://schemas.openxmlformats.org/officeDocument/2006/customXml" ds:itemID="{EB46CF0A-E177-4837-9BF9-02F0DC5F030F}">
  <ds:schemaRefs/>
</ds:datastoreItem>
</file>

<file path=customXml/itemProps6.xml><?xml version="1.0" encoding="utf-8"?>
<ds:datastoreItem xmlns:ds="http://schemas.openxmlformats.org/officeDocument/2006/customXml" ds:itemID="{2E9C7502-DE0C-48FE-A516-674A79AA7B1D}">
  <ds:schemaRefs/>
</ds:datastoreItem>
</file>

<file path=customXml/itemProps7.xml><?xml version="1.0" encoding="utf-8"?>
<ds:datastoreItem xmlns:ds="http://schemas.openxmlformats.org/officeDocument/2006/customXml" ds:itemID="{61CD289A-E439-457C-9085-F3691DFE81C8}">
  <ds:schemaRefs/>
</ds:datastoreItem>
</file>

<file path=customXml/itemProps8.xml><?xml version="1.0" encoding="utf-8"?>
<ds:datastoreItem xmlns:ds="http://schemas.openxmlformats.org/officeDocument/2006/customXml" ds:itemID="{414E35CC-C2D0-41F3-ABB2-75B42C215E90}">
  <ds:schemaRefs/>
</ds:datastoreItem>
</file>

<file path=customXml/itemProps9.xml><?xml version="1.0" encoding="utf-8"?>
<ds:datastoreItem xmlns:ds="http://schemas.openxmlformats.org/officeDocument/2006/customXml" ds:itemID="{E2929BB9-7103-4D70-A2C5-823B316A2A09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D7BEEEB9-FB2F-4E89-A269-BB5A8081DDAF}">
  <ds:schemaRefs/>
</ds:datastoreItem>
</file>

<file path=customXml/itemProps11.xml><?xml version="1.0" encoding="utf-8"?>
<ds:datastoreItem xmlns:ds="http://schemas.openxmlformats.org/officeDocument/2006/customXml" ds:itemID="{A3DE81CC-394C-4ACC-A3F2-BD17A930FD74}">
  <ds:schemaRefs/>
</ds:datastoreItem>
</file>

<file path=customXml/itemProps12.xml><?xml version="1.0" encoding="utf-8"?>
<ds:datastoreItem xmlns:ds="http://schemas.openxmlformats.org/officeDocument/2006/customXml" ds:itemID="{87740C11-2C68-4D96-A98C-618FC49AFB69}">
  <ds:schemaRefs/>
</ds:datastoreItem>
</file>

<file path=customXml/itemProps13.xml><?xml version="1.0" encoding="utf-8"?>
<ds:datastoreItem xmlns:ds="http://schemas.openxmlformats.org/officeDocument/2006/customXml" ds:itemID="{7B2D25AE-97EA-4539-A834-6E342CCB542B}">
  <ds:schemaRefs/>
</ds:datastoreItem>
</file>

<file path=customXml/itemProps14.xml><?xml version="1.0" encoding="utf-8"?>
<ds:datastoreItem xmlns:ds="http://schemas.openxmlformats.org/officeDocument/2006/customXml" ds:itemID="{471795A1-8C85-4EA6-90C8-83EE767104AF}">
  <ds:schemaRefs/>
</ds:datastoreItem>
</file>

<file path=customXml/itemProps15.xml><?xml version="1.0" encoding="utf-8"?>
<ds:datastoreItem xmlns:ds="http://schemas.openxmlformats.org/officeDocument/2006/customXml" ds:itemID="{B059FE70-E8E0-4E71-B18C-7C0FD7E06A13}">
  <ds:schemaRefs/>
</ds:datastoreItem>
</file>

<file path=customXml/itemProps16.xml><?xml version="1.0" encoding="utf-8"?>
<ds:datastoreItem xmlns:ds="http://schemas.openxmlformats.org/officeDocument/2006/customXml" ds:itemID="{8151FB68-0A31-4DA8-959F-79EAAE21B2E0}">
  <ds:schemaRefs/>
</ds:datastoreItem>
</file>

<file path=customXml/itemProps17.xml><?xml version="1.0" encoding="utf-8"?>
<ds:datastoreItem xmlns:ds="http://schemas.openxmlformats.org/officeDocument/2006/customXml" ds:itemID="{4B346F9C-A710-492D-A53C-72A889F66AF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Clean Data</vt:lpstr>
      <vt:lpstr>Analysis Pivots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Muhannad Al Abbasi</dc:creator>
  <cp:lastModifiedBy>Al Muhannad Al Abbasi</cp:lastModifiedBy>
  <dcterms:created xsi:type="dcterms:W3CDTF">2026-01-04T01:58:02Z</dcterms:created>
  <dcterms:modified xsi:type="dcterms:W3CDTF">2026-05-01T23:52:55Z</dcterms:modified>
</cp:coreProperties>
</file>